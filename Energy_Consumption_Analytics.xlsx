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mol\Downloads\"/>
    </mc:Choice>
  </mc:AlternateContent>
  <xr:revisionPtr revIDLastSave="0" documentId="13_ncr:1_{C038C403-84F1-4C40-BC49-58A3D27C0618}" xr6:coauthVersionLast="47" xr6:coauthVersionMax="47" xr10:uidLastSave="{00000000-0000-0000-0000-000000000000}"/>
  <bookViews>
    <workbookView xWindow="-110" yWindow="-110" windowWidth="19420" windowHeight="12220" tabRatio="518" firstSheet="3" activeTab="8" xr2:uid="{00000000-000D-0000-FFFF-FFFF00000000}"/>
  </bookViews>
  <sheets>
    <sheet name="Sheet3" sheetId="15" r:id="rId1"/>
    <sheet name="Data" sheetId="7" r:id="rId2"/>
    <sheet name="Sheet1" sheetId="14" r:id="rId3"/>
    <sheet name="Sheet2" sheetId="8" r:id="rId4"/>
    <sheet name="Sheet5" sheetId="10" r:id="rId5"/>
    <sheet name="Sheet6" sheetId="11" r:id="rId6"/>
    <sheet name="Sheet7" sheetId="12" r:id="rId7"/>
    <sheet name="Sheet8" sheetId="13" r:id="rId8"/>
    <sheet name="Dashboard" sheetId="6" r:id="rId9"/>
  </sheets>
  <definedNames>
    <definedName name="Slicer_Building_Type1">#N/A</definedName>
    <definedName name="Slicer_Energy_Source1">#N/A</definedName>
    <definedName name="Slicer_Location1">#N/A</definedName>
  </definedNames>
  <calcPr calcId="191028"/>
  <pivotCaches>
    <pivotCache cacheId="4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3" i="7" l="1"/>
  <c r="E203" i="7"/>
  <c r="H203" i="7"/>
  <c r="G203" i="7"/>
</calcChain>
</file>

<file path=xl/sharedStrings.xml><?xml version="1.0" encoding="utf-8"?>
<sst xmlns="http://schemas.openxmlformats.org/spreadsheetml/2006/main" count="679" uniqueCount="32">
  <si>
    <t>Sum of Energy Consumption (kWh)</t>
  </si>
  <si>
    <t>Average of Current (A)</t>
  </si>
  <si>
    <t>Timestamp</t>
  </si>
  <si>
    <t>Location</t>
  </si>
  <si>
    <t>Building Type</t>
  </si>
  <si>
    <t>Energy Source</t>
  </si>
  <si>
    <t>Voltage (V)</t>
  </si>
  <si>
    <t>Current (A)</t>
  </si>
  <si>
    <t>Power Load (kW)</t>
  </si>
  <si>
    <t>Energy Consumption (kWh)</t>
  </si>
  <si>
    <t>Outer Ring Road (IIT Delhi)</t>
  </si>
  <si>
    <t>Office Building</t>
  </si>
  <si>
    <t>Grid</t>
  </si>
  <si>
    <t>Data Center</t>
  </si>
  <si>
    <t>NH8 (near Airport)</t>
  </si>
  <si>
    <t>School</t>
  </si>
  <si>
    <t>Solar + Grid</t>
  </si>
  <si>
    <t>Hospital</t>
  </si>
  <si>
    <t>DND Flyway</t>
  </si>
  <si>
    <t>Industrial Unit</t>
  </si>
  <si>
    <t>AIIMS Crossing</t>
  </si>
  <si>
    <t>Chandni Chowk</t>
  </si>
  <si>
    <t>Shopping Complex</t>
  </si>
  <si>
    <t>India Gate Circle</t>
  </si>
  <si>
    <t>Rajiv Chowk Metro Area</t>
  </si>
  <si>
    <t>Residential Tower</t>
  </si>
  <si>
    <t>Connaught Place</t>
  </si>
  <si>
    <t>Row Labels</t>
  </si>
  <si>
    <t>Grand Total</t>
  </si>
  <si>
    <t>Sum of Voltage (V)</t>
  </si>
  <si>
    <t>Sum of Power Load (kW)</t>
  </si>
  <si>
    <r>
      <rPr>
        <b/>
        <sz val="72"/>
        <color rgb="FFFFC000"/>
        <rFont val="Calibri"/>
        <family val="2"/>
        <scheme val="minor"/>
      </rPr>
      <t>⚡</t>
    </r>
    <r>
      <rPr>
        <b/>
        <sz val="72"/>
        <color theme="0"/>
        <rFont val="Calibri"/>
        <family val="2"/>
        <scheme val="minor"/>
      </rPr>
      <t xml:space="preserve"> ENERGY CONSUMPTION</t>
    </r>
    <r>
      <rPr>
        <b/>
        <sz val="72"/>
        <color theme="2" tint="-0.89999084444715716"/>
        <rFont val="Calibri"/>
        <family val="2"/>
        <scheme val="minor"/>
      </rPr>
      <t xml:space="preserve"> </t>
    </r>
    <r>
      <rPr>
        <b/>
        <sz val="72"/>
        <color theme="2"/>
        <rFont val="Calibri"/>
        <family val="2"/>
        <scheme val="minor"/>
      </rPr>
      <t xml:space="preserve">ANALYTICS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</si>
</sst>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mm:ss"/>
  </numFmts>
  <fonts count="8" x14ac:knownFonts="1">
    <font>
      <sz val="11"/>
      <color theme="1"/>
      <name val="Calibri"/>
      <family val="2"/>
      <scheme val="minor"/>
    </font>
    <font>
      <sz val="11"/>
      <color theme="9" tint="0.59999389629810485"/>
      <name val="Calibri"/>
      <family val="2"/>
      <scheme val="minor"/>
    </font>
    <font>
      <b/>
      <sz val="48"/>
      <color theme="3"/>
      <name val="Calibri"/>
      <family val="2"/>
      <scheme val="minor"/>
    </font>
    <font>
      <b/>
      <sz val="72"/>
      <color rgb="FFFFC000"/>
      <name val="Calibri"/>
      <family val="2"/>
      <scheme val="minor"/>
    </font>
    <font>
      <b/>
      <sz val="72"/>
      <color theme="0"/>
      <name val="Calibri"/>
      <family val="2"/>
      <scheme val="minor"/>
    </font>
    <font>
      <b/>
      <sz val="72"/>
      <color theme="2" tint="-0.89999084444715716"/>
      <name val="Calibri"/>
      <family val="2"/>
      <scheme val="minor"/>
    </font>
    <font>
      <b/>
      <sz val="72"/>
      <color theme="2"/>
      <name val="Calibri"/>
      <family val="2"/>
      <scheme val="minor"/>
    </font>
    <font>
      <b/>
      <sz val="12"/>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164" fontId="7" fillId="4" borderId="1" xfId="0" applyNumberFormat="1" applyFont="1" applyFill="1" applyBorder="1" applyAlignment="1">
      <alignment horizontal="center" vertical="center"/>
    </xf>
    <xf numFmtId="164" fontId="7" fillId="5" borderId="1" xfId="0" applyNumberFormat="1" applyFont="1" applyFill="1" applyBorder="1" applyAlignment="1">
      <alignment horizontal="center" vertical="center"/>
    </xf>
    <xf numFmtId="0" fontId="1" fillId="3" borderId="0" xfId="0" applyFont="1" applyFill="1" applyAlignment="1">
      <alignment horizont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12">
    <dxf>
      <font>
        <b/>
        <color theme="1"/>
      </font>
      <border>
        <bottom style="thin">
          <color theme="7"/>
        </bottom>
        <vertical/>
        <horizontal/>
      </border>
    </dxf>
    <dxf>
      <font>
        <b/>
        <i val="0"/>
        <sz val="16"/>
        <color theme="1"/>
      </font>
      <border>
        <left style="thin">
          <color theme="7"/>
        </left>
        <right style="thin">
          <color theme="7"/>
        </right>
        <top style="thin">
          <color theme="7"/>
        </top>
        <bottom style="thin">
          <color theme="7"/>
        </bottom>
        <vertical/>
        <horizontal/>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164" formatCode="yyyy\-mm\-dd\ h:mm:ss"/>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indent="0" justifyLastLine="0" shrinkToFit="0" readingOrder="0"/>
    </dxf>
    <dxf>
      <font>
        <b/>
        <strike val="0"/>
        <outline val="0"/>
        <shadow val="0"/>
        <u val="none"/>
        <vertAlign val="baseline"/>
        <sz val="12"/>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SlicerStyleDark4 2" pivot="0" table="0" count="10" xr9:uid="{3942289C-3BD6-408C-8BD6-3BDA6DEFFF96}">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[Energy_Consumption_Analytics.xlsx]Sheet2!PivotTable3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Energy</a:t>
            </a:r>
            <a:r>
              <a:rPr lang="en-US" baseline="0"/>
              <a:t> Consumption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23691221679687E-2"/>
          <c:y val="0.17621674389105546"/>
          <c:w val="0.91258287198414323"/>
          <c:h val="0.59316150782565891"/>
        </c:manualLayout>
      </c:layout>
      <c:barChart>
        <c:barDir val="col"/>
        <c:grouping val="clustered"/>
        <c:varyColors val="0"/>
        <c:ser>
          <c:idx val="0"/>
          <c:order val="0"/>
          <c:tx>
            <c:strRef>
              <c:f>Sheet2!$B$3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Sheet2!$A$4:$A$12</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Sheet2!$B$4:$B$12</c:f>
              <c:numCache>
                <c:formatCode>General</c:formatCode>
                <c:ptCount val="8"/>
                <c:pt idx="0">
                  <c:v>1.3530000000000002</c:v>
                </c:pt>
                <c:pt idx="1">
                  <c:v>0.93600000000000017</c:v>
                </c:pt>
                <c:pt idx="2">
                  <c:v>1.1260000000000001</c:v>
                </c:pt>
                <c:pt idx="3">
                  <c:v>1.0390000000000001</c:v>
                </c:pt>
                <c:pt idx="4">
                  <c:v>1.3370000000000002</c:v>
                </c:pt>
                <c:pt idx="5">
                  <c:v>0.89900000000000024</c:v>
                </c:pt>
                <c:pt idx="6">
                  <c:v>1.385</c:v>
                </c:pt>
                <c:pt idx="7">
                  <c:v>1.1200000000000001</c:v>
                </c:pt>
              </c:numCache>
            </c:numRef>
          </c:val>
          <c:extLst>
            <c:ext xmlns:c16="http://schemas.microsoft.com/office/drawing/2014/chart" uri="{C3380CC4-5D6E-409C-BE32-E72D297353CC}">
              <c16:uniqueId val="{00000000-2327-4DD8-B1DB-1235D12B8555}"/>
            </c:ext>
          </c:extLst>
        </c:ser>
        <c:dLbls>
          <c:dLblPos val="outEnd"/>
          <c:showLegendKey val="0"/>
          <c:showVal val="1"/>
          <c:showCatName val="0"/>
          <c:showSerName val="0"/>
          <c:showPercent val="0"/>
          <c:showBubbleSize val="0"/>
        </c:dLbls>
        <c:gapWidth val="100"/>
        <c:overlap val="-24"/>
        <c:axId val="171313135"/>
        <c:axId val="1983630991"/>
      </c:barChart>
      <c:catAx>
        <c:axId val="171313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83630991"/>
        <c:crosses val="autoZero"/>
        <c:auto val="1"/>
        <c:lblAlgn val="ctr"/>
        <c:lblOffset val="100"/>
        <c:noMultiLvlLbl val="0"/>
      </c:catAx>
      <c:valAx>
        <c:axId val="1983630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7131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4"/>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[Energy_Consumption_Analytics.xlsx]Sheet5!PivotTable1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Energy consumption by building type</a:t>
            </a:r>
          </a:p>
        </c:rich>
      </c:tx>
      <c:layout>
        <c:manualLayout>
          <c:xMode val="edge"/>
          <c:yMode val="edge"/>
          <c:x val="0.14389368372298461"/>
          <c:y val="5.06964166620455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Sheet5!$A$4:$A$11</c:f>
              <c:strCache>
                <c:ptCount val="7"/>
                <c:pt idx="0">
                  <c:v>Data Center</c:v>
                </c:pt>
                <c:pt idx="1">
                  <c:v>Hospital</c:v>
                </c:pt>
                <c:pt idx="2">
                  <c:v>Industrial Unit</c:v>
                </c:pt>
                <c:pt idx="3">
                  <c:v>Office Building</c:v>
                </c:pt>
                <c:pt idx="4">
                  <c:v>Residential Tower</c:v>
                </c:pt>
                <c:pt idx="5">
                  <c:v>School</c:v>
                </c:pt>
                <c:pt idx="6">
                  <c:v>Shopping Complex</c:v>
                </c:pt>
              </c:strCache>
            </c:strRef>
          </c:cat>
          <c:val>
            <c:numRef>
              <c:f>Sheet5!$B$4:$B$11</c:f>
              <c:numCache>
                <c:formatCode>General</c:formatCode>
                <c:ptCount val="7"/>
                <c:pt idx="0">
                  <c:v>3.3879999999999995</c:v>
                </c:pt>
                <c:pt idx="1">
                  <c:v>2.125</c:v>
                </c:pt>
                <c:pt idx="2">
                  <c:v>0.95100000000000029</c:v>
                </c:pt>
                <c:pt idx="3">
                  <c:v>0.69200000000000039</c:v>
                </c:pt>
                <c:pt idx="4">
                  <c:v>0.65600000000000014</c:v>
                </c:pt>
                <c:pt idx="5">
                  <c:v>0.50500000000000023</c:v>
                </c:pt>
                <c:pt idx="6">
                  <c:v>0.87800000000000022</c:v>
                </c:pt>
              </c:numCache>
            </c:numRef>
          </c:val>
          <c:extLst>
            <c:ext xmlns:c16="http://schemas.microsoft.com/office/drawing/2014/chart" uri="{C3380CC4-5D6E-409C-BE32-E72D297353CC}">
              <c16:uniqueId val="{00000000-026F-400C-AD6B-6B51476CC71F}"/>
            </c:ext>
          </c:extLst>
        </c:ser>
        <c:dLbls>
          <c:showLegendKey val="0"/>
          <c:showVal val="0"/>
          <c:showCatName val="0"/>
          <c:showSerName val="0"/>
          <c:showPercent val="0"/>
          <c:showBubbleSize val="0"/>
        </c:dLbls>
        <c:gapWidth val="115"/>
        <c:overlap val="-20"/>
        <c:axId val="2146829184"/>
        <c:axId val="2145168560"/>
      </c:barChart>
      <c:catAx>
        <c:axId val="21468291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2145168560"/>
        <c:crosses val="autoZero"/>
        <c:auto val="1"/>
        <c:lblAlgn val="ctr"/>
        <c:lblOffset val="100"/>
        <c:noMultiLvlLbl val="0"/>
      </c:catAx>
      <c:valAx>
        <c:axId val="21451685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14682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4"/>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[Energy_Consumption_Analytics.xlsx]Sheet6!PivotTable2</c:name>
    <c:fmtId val="1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Energy Source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Sheet6!$B$3</c:f>
              <c:strCache>
                <c:ptCount val="1"/>
                <c:pt idx="0">
                  <c:v>Total</c:v>
                </c:pt>
              </c:strCache>
            </c:strRef>
          </c:tx>
          <c:dPt>
            <c:idx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E51-47D5-BEC7-1A8869DD4734}"/>
              </c:ext>
            </c:extLst>
          </c:dPt>
          <c:dPt>
            <c:idx val="1"/>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E51-47D5-BEC7-1A8869DD4734}"/>
              </c:ext>
            </c:extLst>
          </c:dPt>
          <c:cat>
            <c:strRef>
              <c:f>Sheet6!$A$4:$A$6</c:f>
              <c:strCache>
                <c:ptCount val="2"/>
                <c:pt idx="0">
                  <c:v>Grid</c:v>
                </c:pt>
                <c:pt idx="1">
                  <c:v>Solar + Grid</c:v>
                </c:pt>
              </c:strCache>
            </c:strRef>
          </c:cat>
          <c:val>
            <c:numRef>
              <c:f>Sheet6!$B$4:$B$6</c:f>
              <c:numCache>
                <c:formatCode>General</c:formatCode>
                <c:ptCount val="2"/>
                <c:pt idx="0">
                  <c:v>7.8120000000000038</c:v>
                </c:pt>
                <c:pt idx="1">
                  <c:v>1.383</c:v>
                </c:pt>
              </c:numCache>
            </c:numRef>
          </c:val>
          <c:extLst>
            <c:ext xmlns:c16="http://schemas.microsoft.com/office/drawing/2014/chart" uri="{C3380CC4-5D6E-409C-BE32-E72D297353CC}">
              <c16:uniqueId val="{00000004-3E51-47D5-BEC7-1A8869DD473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76682682343952"/>
          <c:y val="0.43768248156644113"/>
          <c:w val="0.24318705183113484"/>
          <c:h val="0.2387310965859565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4"/>
      </a:solid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[Energy_Consumption_Analytics.xlsx]Sheet7!PivotTable4</c:name>
    <c:fmtId val="8"/>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b="1">
                <a:solidFill>
                  <a:schemeClr val="bg2"/>
                </a:solidFill>
              </a:rPr>
              <a:t>Average Voltage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Sheet7!$A$4:$A$12</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Sheet7!$B$4:$B$12</c:f>
              <c:numCache>
                <c:formatCode>General</c:formatCode>
                <c:ptCount val="8"/>
                <c:pt idx="0">
                  <c:v>7150.2</c:v>
                </c:pt>
                <c:pt idx="1">
                  <c:v>4389.4000000000005</c:v>
                </c:pt>
                <c:pt idx="2">
                  <c:v>5535.0999999999995</c:v>
                </c:pt>
                <c:pt idx="3">
                  <c:v>5081</c:v>
                </c:pt>
                <c:pt idx="4">
                  <c:v>7153.4000000000015</c:v>
                </c:pt>
                <c:pt idx="5">
                  <c:v>4623.5</c:v>
                </c:pt>
                <c:pt idx="6">
                  <c:v>6968.7999999999993</c:v>
                </c:pt>
                <c:pt idx="7">
                  <c:v>5323.7</c:v>
                </c:pt>
              </c:numCache>
            </c:numRef>
          </c:val>
          <c:extLst>
            <c:ext xmlns:c16="http://schemas.microsoft.com/office/drawing/2014/chart" uri="{C3380CC4-5D6E-409C-BE32-E72D297353CC}">
              <c16:uniqueId val="{00000000-A314-4EE0-8888-00DC0ED42076}"/>
            </c:ext>
          </c:extLst>
        </c:ser>
        <c:dLbls>
          <c:showLegendKey val="0"/>
          <c:showVal val="0"/>
          <c:showCatName val="0"/>
          <c:showSerName val="0"/>
          <c:showPercent val="0"/>
          <c:showBubbleSize val="0"/>
        </c:dLbls>
        <c:gapWidth val="100"/>
        <c:overlap val="-24"/>
        <c:axId val="2138759424"/>
        <c:axId val="2145197360"/>
      </c:barChart>
      <c:catAx>
        <c:axId val="21387594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2145197360"/>
        <c:crosses val="autoZero"/>
        <c:auto val="1"/>
        <c:lblAlgn val="ctr"/>
        <c:lblOffset val="100"/>
        <c:noMultiLvlLbl val="0"/>
      </c:catAx>
      <c:valAx>
        <c:axId val="2145197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crossAx val="21387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[Energy_Consumption_Analytics.xlsx]Sheet8!PivotTable5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bg1"/>
                </a:solidFill>
              </a:rPr>
              <a:t>Average</a:t>
            </a:r>
            <a:r>
              <a:rPr lang="en-US" sz="1600" b="1" baseline="0">
                <a:solidFill>
                  <a:schemeClr val="bg1"/>
                </a:solidFill>
              </a:rPr>
              <a:t>  of  Power Load</a:t>
            </a:r>
            <a:endParaRPr lang="en-US" sz="1600" b="1">
              <a:solidFill>
                <a:schemeClr val="bg1"/>
              </a:solidFill>
            </a:endParaRPr>
          </a:p>
        </c:rich>
      </c:tx>
      <c:layout>
        <c:manualLayout>
          <c:xMode val="edge"/>
          <c:yMode val="edge"/>
          <c:x val="0.2690426101907602"/>
          <c:y val="2.317546603330183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4454468824517"/>
          <c:y val="0.13395365174412283"/>
          <c:w val="0.60396550561182871"/>
          <c:h val="0.75170615439940458"/>
        </c:manualLayout>
      </c:layout>
      <c:barChart>
        <c:barDir val="bar"/>
        <c:grouping val="clustered"/>
        <c:varyColors val="0"/>
        <c:ser>
          <c:idx val="0"/>
          <c:order val="0"/>
          <c:tx>
            <c:strRef>
              <c:f>Sheet8!$B$3</c:f>
              <c:strCache>
                <c:ptCount val="1"/>
                <c:pt idx="0">
                  <c:v>Total</c:v>
                </c:pt>
              </c:strCache>
            </c:strRef>
          </c:tx>
          <c:spPr>
            <a:solidFill>
              <a:schemeClr val="accent4"/>
            </a:solidFill>
            <a:ln>
              <a:noFill/>
            </a:ln>
            <a:effectLst/>
          </c:spPr>
          <c:invertIfNegative val="0"/>
          <c:cat>
            <c:strRef>
              <c:f>Sheet8!$A$4:$A$12</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Sheet8!$B$4:$B$12</c:f>
              <c:numCache>
                <c:formatCode>General</c:formatCode>
                <c:ptCount val="8"/>
                <c:pt idx="0">
                  <c:v>487.54999999999995</c:v>
                </c:pt>
                <c:pt idx="1">
                  <c:v>336.37999999999994</c:v>
                </c:pt>
                <c:pt idx="2">
                  <c:v>405.38</c:v>
                </c:pt>
                <c:pt idx="3">
                  <c:v>373.87999999999994</c:v>
                </c:pt>
                <c:pt idx="4">
                  <c:v>481.99000000000007</c:v>
                </c:pt>
                <c:pt idx="5">
                  <c:v>324.3</c:v>
                </c:pt>
                <c:pt idx="6">
                  <c:v>498.74000000000007</c:v>
                </c:pt>
                <c:pt idx="7">
                  <c:v>404.30999999999995</c:v>
                </c:pt>
              </c:numCache>
            </c:numRef>
          </c:val>
          <c:extLst>
            <c:ext xmlns:c16="http://schemas.microsoft.com/office/drawing/2014/chart" uri="{C3380CC4-5D6E-409C-BE32-E72D297353CC}">
              <c16:uniqueId val="{00000000-55E5-45F7-A875-D8A67652622C}"/>
            </c:ext>
          </c:extLst>
        </c:ser>
        <c:dLbls>
          <c:showLegendKey val="0"/>
          <c:showVal val="0"/>
          <c:showCatName val="0"/>
          <c:showSerName val="0"/>
          <c:showPercent val="0"/>
          <c:showBubbleSize val="0"/>
        </c:dLbls>
        <c:gapWidth val="182"/>
        <c:axId val="981466448"/>
        <c:axId val="825591280"/>
      </c:barChart>
      <c:catAx>
        <c:axId val="98146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825591280"/>
        <c:crosses val="autoZero"/>
        <c:auto val="1"/>
        <c:lblAlgn val="ctr"/>
        <c:lblOffset val="100"/>
        <c:noMultiLvlLbl val="0"/>
      </c:catAx>
      <c:valAx>
        <c:axId val="82559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81466448"/>
        <c:crosses val="autoZero"/>
        <c:crossBetween val="between"/>
      </c:valAx>
      <c:spPr>
        <a:noFill/>
        <a:ln>
          <a:solidFill>
            <a:schemeClr val="accent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[Energy_Consumption_Analytics.xlsx]Sheet1!PivotTable1</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Average</a:t>
            </a:r>
            <a:r>
              <a:rPr lang="en-US" sz="1600" b="1" baseline="0">
                <a:solidFill>
                  <a:schemeClr val="bg1"/>
                </a:solidFill>
              </a:rPr>
              <a:t> Current by location</a:t>
            </a:r>
            <a:endParaRPr lang="en-US" sz="1600" b="1">
              <a:solidFill>
                <a:schemeClr val="bg1"/>
              </a:solidFill>
            </a:endParaRPr>
          </a:p>
        </c:rich>
      </c:tx>
      <c:layout>
        <c:manualLayout>
          <c:xMode val="edge"/>
          <c:yMode val="edge"/>
          <c:x val="0.2232637494416391"/>
          <c:y val="3.891357461709977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4"/>
            </a:solidFill>
            <a:ln>
              <a:noFill/>
            </a:ln>
            <a:effectLst/>
          </c:spPr>
          <c:invertIfNegative val="0"/>
          <c:cat>
            <c:strRef>
              <c:f>Sheet1!$A$4:$A$12</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Sheet1!$B$4:$B$12</c:f>
              <c:numCache>
                <c:formatCode>General</c:formatCode>
                <c:ptCount val="8"/>
                <c:pt idx="0">
                  <c:v>68.032258064516128</c:v>
                </c:pt>
                <c:pt idx="1">
                  <c:v>76.557894736842101</c:v>
                </c:pt>
                <c:pt idx="2">
                  <c:v>73.13333333333334</c:v>
                </c:pt>
                <c:pt idx="3">
                  <c:v>73.540909090909082</c:v>
                </c:pt>
                <c:pt idx="4">
                  <c:v>67.361290322580643</c:v>
                </c:pt>
                <c:pt idx="5">
                  <c:v>70.02000000000001</c:v>
                </c:pt>
                <c:pt idx="6">
                  <c:v>71.586666666666659</c:v>
                </c:pt>
                <c:pt idx="7">
                  <c:v>76.047826086956533</c:v>
                </c:pt>
              </c:numCache>
            </c:numRef>
          </c:val>
          <c:extLst>
            <c:ext xmlns:c16="http://schemas.microsoft.com/office/drawing/2014/chart" uri="{C3380CC4-5D6E-409C-BE32-E72D297353CC}">
              <c16:uniqueId val="{00000000-B0FA-4A19-A197-FA28A7C3D6F8}"/>
            </c:ext>
          </c:extLst>
        </c:ser>
        <c:dLbls>
          <c:showLegendKey val="0"/>
          <c:showVal val="0"/>
          <c:showCatName val="0"/>
          <c:showSerName val="0"/>
          <c:showPercent val="0"/>
          <c:showBubbleSize val="0"/>
        </c:dLbls>
        <c:gapWidth val="182"/>
        <c:axId val="1147076848"/>
        <c:axId val="1131243088"/>
      </c:barChart>
      <c:catAx>
        <c:axId val="114707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31243088"/>
        <c:crosses val="autoZero"/>
        <c:auto val="1"/>
        <c:lblAlgn val="ctr"/>
        <c:lblOffset val="100"/>
        <c:noMultiLvlLbl val="0"/>
      </c:catAx>
      <c:valAx>
        <c:axId val="113124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4707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8</xdr:col>
      <xdr:colOff>114300</xdr:colOff>
      <xdr:row>16</xdr:row>
      <xdr:rowOff>91440</xdr:rowOff>
    </xdr:from>
    <xdr:ext cx="1257300" cy="264560"/>
    <xdr:sp macro="" textlink="">
      <xdr:nvSpPr>
        <xdr:cNvPr id="3" name="TextBox 2">
          <a:extLst>
            <a:ext uri="{FF2B5EF4-FFF2-40B4-BE49-F238E27FC236}">
              <a16:creationId xmlns:a16="http://schemas.microsoft.com/office/drawing/2014/main" id="{F31D4491-AD81-F01D-E6CA-0C0ED5CEFF82}"/>
            </a:ext>
          </a:extLst>
        </xdr:cNvPr>
        <xdr:cNvSpPr txBox="1"/>
      </xdr:nvSpPr>
      <xdr:spPr>
        <a:xfrm>
          <a:off x="4991100" y="3017520"/>
          <a:ext cx="1257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418941</xdr:colOff>
      <xdr:row>16</xdr:row>
      <xdr:rowOff>86130</xdr:rowOff>
    </xdr:from>
    <xdr:to>
      <xdr:col>8</xdr:col>
      <xdr:colOff>550333</xdr:colOff>
      <xdr:row>33</xdr:row>
      <xdr:rowOff>1303</xdr:rowOff>
    </xdr:to>
    <xdr:graphicFrame macro="">
      <xdr:nvGraphicFramePr>
        <xdr:cNvPr id="4" name="Chart 3">
          <a:extLst>
            <a:ext uri="{FF2B5EF4-FFF2-40B4-BE49-F238E27FC236}">
              <a16:creationId xmlns:a16="http://schemas.microsoft.com/office/drawing/2014/main" id="{0AEF39F8-C337-482E-9D19-CC1AA9A43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393777</xdr:colOff>
      <xdr:row>34</xdr:row>
      <xdr:rowOff>87442</xdr:rowOff>
    </xdr:from>
    <xdr:to>
      <xdr:col>8</xdr:col>
      <xdr:colOff>571155</xdr:colOff>
      <xdr:row>53</xdr:row>
      <xdr:rowOff>12491</xdr:rowOff>
    </xdr:to>
    <xdr:graphicFrame macro="">
      <xdr:nvGraphicFramePr>
        <xdr:cNvPr id="5" name="Chart 4">
          <a:extLst>
            <a:ext uri="{FF2B5EF4-FFF2-40B4-BE49-F238E27FC236}">
              <a16:creationId xmlns:a16="http://schemas.microsoft.com/office/drawing/2014/main" id="{54A91D81-60D6-4A21-B9D3-393BAB7F9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104552</xdr:colOff>
      <xdr:row>16</xdr:row>
      <xdr:rowOff>103793</xdr:rowOff>
    </xdr:from>
    <xdr:to>
      <xdr:col>18</xdr:col>
      <xdr:colOff>480391</xdr:colOff>
      <xdr:row>32</xdr:row>
      <xdr:rowOff>153974</xdr:rowOff>
    </xdr:to>
    <xdr:graphicFrame macro="">
      <xdr:nvGraphicFramePr>
        <xdr:cNvPr id="9" name="Chart 8">
          <a:extLst>
            <a:ext uri="{FF2B5EF4-FFF2-40B4-BE49-F238E27FC236}">
              <a16:creationId xmlns:a16="http://schemas.microsoft.com/office/drawing/2014/main" id="{350956DB-49C6-4028-8B35-1E665F820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125680</xdr:colOff>
      <xdr:row>34</xdr:row>
      <xdr:rowOff>74084</xdr:rowOff>
    </xdr:from>
    <xdr:to>
      <xdr:col>18</xdr:col>
      <xdr:colOff>513521</xdr:colOff>
      <xdr:row>52</xdr:row>
      <xdr:rowOff>174070</xdr:rowOff>
    </xdr:to>
    <xdr:graphicFrame macro="">
      <xdr:nvGraphicFramePr>
        <xdr:cNvPr id="11" name="Chart 10">
          <a:extLst>
            <a:ext uri="{FF2B5EF4-FFF2-40B4-BE49-F238E27FC236}">
              <a16:creationId xmlns:a16="http://schemas.microsoft.com/office/drawing/2014/main" id="{603E4520-962D-4C10-B2B3-7F23EFBD1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104966</xdr:colOff>
      <xdr:row>16</xdr:row>
      <xdr:rowOff>124919</xdr:rowOff>
    </xdr:from>
    <xdr:to>
      <xdr:col>26</xdr:col>
      <xdr:colOff>576518</xdr:colOff>
      <xdr:row>32</xdr:row>
      <xdr:rowOff>112426</xdr:rowOff>
    </xdr:to>
    <xdr:graphicFrame macro="">
      <xdr:nvGraphicFramePr>
        <xdr:cNvPr id="10" name="Chart 9">
          <a:extLst>
            <a:ext uri="{FF2B5EF4-FFF2-40B4-BE49-F238E27FC236}">
              <a16:creationId xmlns:a16="http://schemas.microsoft.com/office/drawing/2014/main" id="{F5714A2C-ACFB-4AFC-A08A-59A910623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116418</xdr:colOff>
      <xdr:row>34</xdr:row>
      <xdr:rowOff>52917</xdr:rowOff>
    </xdr:from>
    <xdr:to>
      <xdr:col>26</xdr:col>
      <xdr:colOff>560916</xdr:colOff>
      <xdr:row>53</xdr:row>
      <xdr:rowOff>31255</xdr:rowOff>
    </xdr:to>
    <xdr:graphicFrame macro="">
      <xdr:nvGraphicFramePr>
        <xdr:cNvPr id="12" name="Chart 11">
          <a:extLst>
            <a:ext uri="{FF2B5EF4-FFF2-40B4-BE49-F238E27FC236}">
              <a16:creationId xmlns:a16="http://schemas.microsoft.com/office/drawing/2014/main" id="{2812D829-DF9F-444A-BFAD-DBEE6D398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126071</xdr:colOff>
      <xdr:row>8</xdr:row>
      <xdr:rowOff>83102</xdr:rowOff>
    </xdr:from>
    <xdr:to>
      <xdr:col>32</xdr:col>
      <xdr:colOff>375907</xdr:colOff>
      <xdr:row>18</xdr:row>
      <xdr:rowOff>83103</xdr:rowOff>
    </xdr:to>
    <xdr:sp macro="" textlink="">
      <xdr:nvSpPr>
        <xdr:cNvPr id="2049" name="Text Box 1">
          <a:extLst>
            <a:ext uri="{FF2B5EF4-FFF2-40B4-BE49-F238E27FC236}">
              <a16:creationId xmlns:a16="http://schemas.microsoft.com/office/drawing/2014/main" id="{F89B2DAD-631D-993A-F92C-2CA293BEA368}"/>
            </a:ext>
          </a:extLst>
        </xdr:cNvPr>
        <xdr:cNvSpPr txBox="1">
          <a:spLocks noChangeArrowheads="1"/>
        </xdr:cNvSpPr>
      </xdr:nvSpPr>
      <xdr:spPr bwMode="auto">
        <a:xfrm>
          <a:off x="16658750" y="1262388"/>
          <a:ext cx="3311443" cy="1814286"/>
        </a:xfrm>
        <a:prstGeom prst="rect">
          <a:avLst/>
        </a:prstGeom>
        <a:solidFill>
          <a:schemeClr val="accent4"/>
        </a:solidFill>
        <a:ln w="9525">
          <a:solidFill>
            <a:srgbClr val="000000"/>
          </a:solidFill>
          <a:miter lim="800000"/>
          <a:headEnd/>
          <a:tailEnd/>
        </a:ln>
      </xdr:spPr>
      <xdr:txBody>
        <a:bodyPr vertOverflow="clip" wrap="square" lIns="27432" tIns="18288" rIns="0" bIns="0" anchor="t" upright="1"/>
        <a:lstStyle/>
        <a:p>
          <a:pPr algn="ctr" rtl="0">
            <a:defRPr sz="1000"/>
          </a:pPr>
          <a:r>
            <a:rPr lang="en-US" sz="2400" b="1" i="0" u="sng" strike="noStrike" baseline="0">
              <a:solidFill>
                <a:schemeClr val="tx1">
                  <a:lumMod val="95000"/>
                  <a:lumOff val="5000"/>
                </a:schemeClr>
              </a:solidFill>
              <a:latin typeface="+mn-lt"/>
              <a:ea typeface="Calibri"/>
              <a:cs typeface="Calibri"/>
            </a:rPr>
            <a:t>Key Insights              </a:t>
          </a:r>
        </a:p>
        <a:p>
          <a:pPr algn="l" rtl="0">
            <a:defRPr sz="1000"/>
          </a:pPr>
          <a:r>
            <a:rPr lang="en-US" sz="2000" b="1" i="0" u="none" strike="noStrike" baseline="0">
              <a:solidFill>
                <a:srgbClr val="000000"/>
              </a:solidFill>
              <a:latin typeface="+mn-lt"/>
              <a:ea typeface="Calibri"/>
              <a:cs typeface="Calibri"/>
            </a:rPr>
            <a:t>⚡ </a:t>
          </a:r>
          <a:r>
            <a:rPr lang="en-US" sz="2000" b="1" i="0" u="none" strike="noStrike" baseline="0">
              <a:solidFill>
                <a:schemeClr val="bg1"/>
              </a:solidFill>
              <a:latin typeface="+mn-lt"/>
              <a:ea typeface="Calibri"/>
              <a:cs typeface="Calibri"/>
            </a:rPr>
            <a:t>Total Energy: 6.809 kWh</a:t>
          </a:r>
        </a:p>
        <a:p>
          <a:pPr algn="l" rtl="0">
            <a:defRPr sz="1000"/>
          </a:pPr>
          <a:r>
            <a:rPr lang="en-US" sz="2000" b="1" i="0" u="none" strike="noStrike" baseline="0">
              <a:solidFill>
                <a:schemeClr val="bg1"/>
              </a:solidFill>
              <a:latin typeface="+mn-lt"/>
              <a:ea typeface="Calibri"/>
              <a:cs typeface="Calibri"/>
            </a:rPr>
            <a:t>📊 Avg Power Load: 16.35 kW</a:t>
          </a:r>
        </a:p>
        <a:p>
          <a:pPr algn="l" rtl="0">
            <a:defRPr sz="1000"/>
          </a:pPr>
          <a:r>
            <a:rPr lang="en-US" sz="2000" b="1" i="0" u="none" strike="noStrike" baseline="0">
              <a:solidFill>
                <a:schemeClr val="bg1"/>
              </a:solidFill>
              <a:latin typeface="+mn-lt"/>
              <a:ea typeface="Calibri"/>
              <a:cs typeface="Calibri"/>
            </a:rPr>
            <a:t>🔌 Avg Voltage: 231.08 V</a:t>
          </a:r>
        </a:p>
        <a:p>
          <a:pPr algn="l" rtl="0">
            <a:defRPr sz="1000"/>
          </a:pPr>
          <a:r>
            <a:rPr lang="en-US" sz="2000" b="1" i="0" u="none" strike="noStrike" baseline="0">
              <a:solidFill>
                <a:schemeClr val="bg1"/>
              </a:solidFill>
              <a:latin typeface="+mn-lt"/>
              <a:ea typeface="Calibri"/>
              <a:cs typeface="Calibri"/>
            </a:rPr>
            <a:t>💡 Avg Current: 70.71 </a:t>
          </a:r>
          <a:endParaRPr lang="en-US" sz="2000" b="1" i="0" u="none" strike="noStrike" baseline="0">
            <a:solidFill>
              <a:srgbClr val="000000"/>
            </a:solidFill>
            <a:latin typeface="+mn-lt"/>
            <a:ea typeface="Calibri"/>
            <a:cs typeface="Calibri"/>
          </a:endParaRPr>
        </a:p>
      </xdr:txBody>
    </xdr:sp>
    <xdr:clientData/>
  </xdr:twoCellAnchor>
  <xdr:twoCellAnchor>
    <xdr:from>
      <xdr:col>7</xdr:col>
      <xdr:colOff>300182</xdr:colOff>
      <xdr:row>9</xdr:row>
      <xdr:rowOff>69272</xdr:rowOff>
    </xdr:from>
    <xdr:to>
      <xdr:col>13</xdr:col>
      <xdr:colOff>311728</xdr:colOff>
      <xdr:row>15</xdr:row>
      <xdr:rowOff>116859</xdr:rowOff>
    </xdr:to>
    <xdr:sp macro="" textlink="Data!G203">
      <xdr:nvSpPr>
        <xdr:cNvPr id="18" name="Rectangle: Rounded Corners 17">
          <a:extLst>
            <a:ext uri="{FF2B5EF4-FFF2-40B4-BE49-F238E27FC236}">
              <a16:creationId xmlns:a16="http://schemas.microsoft.com/office/drawing/2014/main" id="{A3805635-658A-261F-E080-476CE584D07D}"/>
            </a:ext>
          </a:extLst>
        </xdr:cNvPr>
        <xdr:cNvSpPr/>
      </xdr:nvSpPr>
      <xdr:spPr>
        <a:xfrm>
          <a:off x="4583546" y="1431636"/>
          <a:ext cx="3683000" cy="11559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lIns="468000" rIns="468000" rtlCol="0" anchor="ctr"/>
        <a:lstStyle/>
        <a:p>
          <a:pPr algn="ctr"/>
          <a:r>
            <a:rPr lang="en-US" sz="2400" b="1" i="0" u="none" strike="noStrike">
              <a:solidFill>
                <a:schemeClr val="bg1"/>
              </a:solidFill>
              <a:latin typeface="Calibri"/>
              <a:ea typeface="Calibri"/>
              <a:cs typeface="Calibri"/>
            </a:rPr>
            <a:t>AVERAGE</a:t>
          </a:r>
          <a:r>
            <a:rPr lang="en-US" sz="2400" b="1" i="0" u="none" strike="noStrike" baseline="0">
              <a:solidFill>
                <a:schemeClr val="bg1"/>
              </a:solidFill>
              <a:latin typeface="Calibri"/>
              <a:ea typeface="Calibri"/>
              <a:cs typeface="Calibri"/>
            </a:rPr>
            <a:t> POWER LOAD </a:t>
          </a:r>
          <a:fld id="{041DD6AC-3144-48B4-96F6-BE9B531C35F2}" type="TxLink">
            <a:rPr lang="en-US" sz="2400" b="1" i="0" u="none" strike="noStrike">
              <a:solidFill>
                <a:schemeClr val="bg1"/>
              </a:solidFill>
              <a:latin typeface="Calibri"/>
              <a:ea typeface="Calibri"/>
              <a:cs typeface="Calibri"/>
            </a:rPr>
            <a:pPr algn="ctr"/>
            <a:t>16.56265</a:t>
          </a:fld>
          <a:r>
            <a:rPr lang="en-US" sz="2400" b="1" i="0" u="none" strike="noStrike">
              <a:solidFill>
                <a:schemeClr val="bg1"/>
              </a:solidFill>
              <a:latin typeface="Calibri"/>
              <a:ea typeface="Calibri"/>
              <a:cs typeface="Calibri"/>
            </a:rPr>
            <a:t> KW</a:t>
          </a:r>
          <a:endParaRPr lang="en-IN" sz="2400">
            <a:solidFill>
              <a:schemeClr val="bg1"/>
            </a:solidFill>
          </a:endParaRPr>
        </a:p>
      </xdr:txBody>
    </xdr:sp>
    <xdr:clientData/>
  </xdr:twoCellAnchor>
  <xdr:twoCellAnchor editAs="oneCell">
    <xdr:from>
      <xdr:col>7</xdr:col>
      <xdr:colOff>276228</xdr:colOff>
      <xdr:row>10</xdr:row>
      <xdr:rowOff>18764</xdr:rowOff>
    </xdr:from>
    <xdr:to>
      <xdr:col>8</xdr:col>
      <xdr:colOff>346941</xdr:colOff>
      <xdr:row>13</xdr:row>
      <xdr:rowOff>42835</xdr:rowOff>
    </xdr:to>
    <xdr:pic>
      <xdr:nvPicPr>
        <xdr:cNvPr id="20" name="Picture 19">
          <a:extLst>
            <a:ext uri="{FF2B5EF4-FFF2-40B4-BE49-F238E27FC236}">
              <a16:creationId xmlns:a16="http://schemas.microsoft.com/office/drawing/2014/main" id="{5E092186-8F39-9470-7AEE-7C3537C0B41C}"/>
            </a:ext>
          </a:extLst>
        </xdr:cNvPr>
        <xdr:cNvPicPr>
          <a:picLocks noChangeAspect="1"/>
        </xdr:cNvPicPr>
      </xdr:nvPicPr>
      <xdr:blipFill>
        <a:blip xmlns:r="http://schemas.openxmlformats.org/officeDocument/2006/relationships" r:embed="rId7"/>
        <a:stretch>
          <a:fillRect/>
        </a:stretch>
      </xdr:blipFill>
      <xdr:spPr>
        <a:xfrm>
          <a:off x="4559592" y="1565855"/>
          <a:ext cx="682622" cy="578253"/>
        </a:xfrm>
        <a:prstGeom prst="rect">
          <a:avLst/>
        </a:prstGeom>
      </xdr:spPr>
    </xdr:pic>
    <xdr:clientData/>
  </xdr:twoCellAnchor>
  <xdr:twoCellAnchor editAs="oneCell">
    <xdr:from>
      <xdr:col>27</xdr:col>
      <xdr:colOff>132291</xdr:colOff>
      <xdr:row>19</xdr:row>
      <xdr:rowOff>2</xdr:rowOff>
    </xdr:from>
    <xdr:to>
      <xdr:col>32</xdr:col>
      <xdr:colOff>370416</xdr:colOff>
      <xdr:row>24</xdr:row>
      <xdr:rowOff>66144</xdr:rowOff>
    </xdr:to>
    <mc:AlternateContent xmlns:mc="http://schemas.openxmlformats.org/markup-compatibility/2006">
      <mc:Choice xmlns:a14="http://schemas.microsoft.com/office/drawing/2010/main" Requires="a14">
        <xdr:graphicFrame macro="">
          <xdr:nvGraphicFramePr>
            <xdr:cNvPr id="6" name="Energy Source 1">
              <a:extLst>
                <a:ext uri="{FF2B5EF4-FFF2-40B4-BE49-F238E27FC236}">
                  <a16:creationId xmlns:a16="http://schemas.microsoft.com/office/drawing/2014/main" id="{7CFAF02E-C9FE-420E-BB3F-3C625578BDD1}"/>
                </a:ext>
              </a:extLst>
            </xdr:cNvPr>
            <xdr:cNvGraphicFramePr/>
          </xdr:nvGraphicFramePr>
          <xdr:xfrm>
            <a:off x="0" y="0"/>
            <a:ext cx="0" cy="0"/>
          </xdr:xfrm>
          <a:graphic>
            <a:graphicData uri="http://schemas.microsoft.com/office/drawing/2010/slicer">
              <sle:slicer xmlns:sle="http://schemas.microsoft.com/office/drawing/2010/slicer" name="Energy Source 1"/>
            </a:graphicData>
          </a:graphic>
        </xdr:graphicFrame>
      </mc:Choice>
      <mc:Fallback>
        <xdr:sp macro="" textlink="">
          <xdr:nvSpPr>
            <xdr:cNvPr id="0" name=""/>
            <xdr:cNvSpPr>
              <a:spLocks noTextEdit="1"/>
            </xdr:cNvSpPr>
          </xdr:nvSpPr>
          <xdr:spPr>
            <a:xfrm>
              <a:off x="16653836" y="3209638"/>
              <a:ext cx="3297671" cy="98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130403</xdr:colOff>
      <xdr:row>24</xdr:row>
      <xdr:rowOff>124733</xdr:rowOff>
    </xdr:from>
    <xdr:to>
      <xdr:col>32</xdr:col>
      <xdr:colOff>355299</xdr:colOff>
      <xdr:row>37</xdr:row>
      <xdr:rowOff>147411</xdr:rowOff>
    </xdr:to>
    <mc:AlternateContent xmlns:mc="http://schemas.openxmlformats.org/markup-compatibility/2006">
      <mc:Choice xmlns:a14="http://schemas.microsoft.com/office/drawing/2010/main" Requires="a14">
        <xdr:graphicFrame macro="">
          <xdr:nvGraphicFramePr>
            <xdr:cNvPr id="16" name="Building Type 1">
              <a:extLst>
                <a:ext uri="{FF2B5EF4-FFF2-40B4-BE49-F238E27FC236}">
                  <a16:creationId xmlns:a16="http://schemas.microsoft.com/office/drawing/2014/main" id="{F5043C88-8A5D-40F3-9034-E360CD9E968F}"/>
                </a:ext>
              </a:extLst>
            </xdr:cNvPr>
            <xdr:cNvGraphicFramePr/>
          </xdr:nvGraphicFramePr>
          <xdr:xfrm>
            <a:off x="0" y="0"/>
            <a:ext cx="0" cy="0"/>
          </xdr:xfrm>
          <a:graphic>
            <a:graphicData uri="http://schemas.microsoft.com/office/drawing/2010/slicer">
              <sle:slicer xmlns:sle="http://schemas.microsoft.com/office/drawing/2010/slicer" name="Building Type 1"/>
            </a:graphicData>
          </a:graphic>
        </xdr:graphicFrame>
      </mc:Choice>
      <mc:Fallback>
        <xdr:sp macro="" textlink="">
          <xdr:nvSpPr>
            <xdr:cNvPr id="0" name=""/>
            <xdr:cNvSpPr>
              <a:spLocks noTextEdit="1"/>
            </xdr:cNvSpPr>
          </xdr:nvSpPr>
          <xdr:spPr>
            <a:xfrm>
              <a:off x="16651948" y="4258006"/>
              <a:ext cx="3284442" cy="2424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120952</xdr:colOff>
      <xdr:row>38</xdr:row>
      <xdr:rowOff>45358</xdr:rowOff>
    </xdr:from>
    <xdr:to>
      <xdr:col>32</xdr:col>
      <xdr:colOff>385535</xdr:colOff>
      <xdr:row>52</xdr:row>
      <xdr:rowOff>147412</xdr:rowOff>
    </xdr:to>
    <mc:AlternateContent xmlns:mc="http://schemas.openxmlformats.org/markup-compatibility/2006">
      <mc:Choice xmlns:a14="http://schemas.microsoft.com/office/drawing/2010/main" Requires="a14">
        <xdr:graphicFrame macro="">
          <xdr:nvGraphicFramePr>
            <xdr:cNvPr id="17" name="Location 1">
              <a:extLst>
                <a:ext uri="{FF2B5EF4-FFF2-40B4-BE49-F238E27FC236}">
                  <a16:creationId xmlns:a16="http://schemas.microsoft.com/office/drawing/2014/main" id="{990AA6DD-A84D-46D5-9CB8-C603464C699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6642497" y="6764813"/>
              <a:ext cx="3324129" cy="2688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9</xdr:row>
      <xdr:rowOff>52918</xdr:rowOff>
    </xdr:from>
    <xdr:to>
      <xdr:col>6</xdr:col>
      <xdr:colOff>484909</xdr:colOff>
      <xdr:row>15</xdr:row>
      <xdr:rowOff>84668</xdr:rowOff>
    </xdr:to>
    <xdr:sp macro="" textlink="Data!H203">
      <xdr:nvSpPr>
        <xdr:cNvPr id="25" name="Rectangle: Rounded Corners 24">
          <a:extLst>
            <a:ext uri="{FF2B5EF4-FFF2-40B4-BE49-F238E27FC236}">
              <a16:creationId xmlns:a16="http://schemas.microsoft.com/office/drawing/2014/main" id="{74D344FA-EEF1-AA6B-251F-59309AC924C3}"/>
            </a:ext>
          </a:extLst>
        </xdr:cNvPr>
        <xdr:cNvSpPr/>
      </xdr:nvSpPr>
      <xdr:spPr>
        <a:xfrm>
          <a:off x="992909" y="1415282"/>
          <a:ext cx="3163455" cy="1140113"/>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TOTAL</a:t>
          </a:r>
          <a:r>
            <a:rPr lang="en-US" sz="2400" b="1" i="0" u="none" strike="noStrike" baseline="0">
              <a:solidFill>
                <a:schemeClr val="bg1"/>
              </a:solidFill>
              <a:latin typeface="Calibri"/>
              <a:ea typeface="Calibri"/>
              <a:cs typeface="Calibri"/>
            </a:rPr>
            <a:t> ENERGY</a:t>
          </a:r>
        </a:p>
        <a:p>
          <a:pPr algn="ctr"/>
          <a:fld id="{54B6BB63-11B6-40FF-9498-81F9EC3F663D}" type="TxLink">
            <a:rPr lang="en-US" sz="2400" b="1" i="0" u="none" strike="noStrike">
              <a:solidFill>
                <a:schemeClr val="bg1"/>
              </a:solidFill>
              <a:latin typeface="Calibri"/>
              <a:ea typeface="Calibri"/>
              <a:cs typeface="Calibri"/>
            </a:rPr>
            <a:t>9.195</a:t>
          </a:fld>
          <a:r>
            <a:rPr lang="en-US" sz="2400" b="1" i="0" u="none" strike="noStrike">
              <a:solidFill>
                <a:schemeClr val="bg1"/>
              </a:solidFill>
              <a:latin typeface="Calibri"/>
              <a:ea typeface="Calibri"/>
              <a:cs typeface="Calibri"/>
            </a:rPr>
            <a:t> KWH</a:t>
          </a:r>
          <a:endParaRPr lang="en-IN" sz="2400" b="1">
            <a:solidFill>
              <a:schemeClr val="bg1"/>
            </a:solidFill>
          </a:endParaRPr>
        </a:p>
      </xdr:txBody>
    </xdr:sp>
    <xdr:clientData/>
  </xdr:twoCellAnchor>
  <xdr:twoCellAnchor editAs="oneCell">
    <xdr:from>
      <xdr:col>1</xdr:col>
      <xdr:colOff>384842</xdr:colOff>
      <xdr:row>9</xdr:row>
      <xdr:rowOff>114537</xdr:rowOff>
    </xdr:from>
    <xdr:to>
      <xdr:col>2</xdr:col>
      <xdr:colOff>455554</xdr:colOff>
      <xdr:row>12</xdr:row>
      <xdr:rowOff>136307</xdr:rowOff>
    </xdr:to>
    <xdr:pic>
      <xdr:nvPicPr>
        <xdr:cNvPr id="21" name="Picture 20">
          <a:extLst>
            <a:ext uri="{FF2B5EF4-FFF2-40B4-BE49-F238E27FC236}">
              <a16:creationId xmlns:a16="http://schemas.microsoft.com/office/drawing/2014/main" id="{5EE36AEF-3DC6-5771-DB40-A05423FDB8FB}"/>
            </a:ext>
          </a:extLst>
        </xdr:cNvPr>
        <xdr:cNvPicPr>
          <a:picLocks noChangeAspect="1"/>
        </xdr:cNvPicPr>
      </xdr:nvPicPr>
      <xdr:blipFill>
        <a:blip xmlns:r="http://schemas.openxmlformats.org/officeDocument/2006/relationships" r:embed="rId8"/>
        <a:stretch>
          <a:fillRect/>
        </a:stretch>
      </xdr:blipFill>
      <xdr:spPr>
        <a:xfrm>
          <a:off x="998675" y="1479787"/>
          <a:ext cx="684546" cy="561520"/>
        </a:xfrm>
        <a:prstGeom prst="rect">
          <a:avLst/>
        </a:prstGeom>
      </xdr:spPr>
    </xdr:pic>
    <xdr:clientData/>
  </xdr:twoCellAnchor>
  <xdr:twoCellAnchor>
    <xdr:from>
      <xdr:col>14</xdr:col>
      <xdr:colOff>72161</xdr:colOff>
      <xdr:row>9</xdr:row>
      <xdr:rowOff>83705</xdr:rowOff>
    </xdr:from>
    <xdr:to>
      <xdr:col>19</xdr:col>
      <xdr:colOff>496455</xdr:colOff>
      <xdr:row>15</xdr:row>
      <xdr:rowOff>94289</xdr:rowOff>
    </xdr:to>
    <xdr:sp macro="" textlink="Data!E203">
      <xdr:nvSpPr>
        <xdr:cNvPr id="27" name="Rectangle: Rounded Corners 26">
          <a:extLst>
            <a:ext uri="{FF2B5EF4-FFF2-40B4-BE49-F238E27FC236}">
              <a16:creationId xmlns:a16="http://schemas.microsoft.com/office/drawing/2014/main" id="{C4BB93F2-B41E-DB92-BAD9-6A57FADF9EB6}"/>
            </a:ext>
          </a:extLst>
        </xdr:cNvPr>
        <xdr:cNvSpPr/>
      </xdr:nvSpPr>
      <xdr:spPr>
        <a:xfrm>
          <a:off x="8638888" y="1446069"/>
          <a:ext cx="3483840" cy="1118947"/>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AVERAGE VOLATE </a:t>
          </a:r>
          <a:fld id="{AE077683-FC96-42CA-91F4-C9CBBABBA88E}" type="TxLink">
            <a:rPr lang="en-US" sz="2400" b="1" i="0" u="none" strike="noStrike">
              <a:solidFill>
                <a:schemeClr val="bg1"/>
              </a:solidFill>
              <a:latin typeface="Calibri"/>
              <a:ea typeface="Calibri"/>
              <a:cs typeface="Calibri"/>
            </a:rPr>
            <a:t>231.1255</a:t>
          </a:fld>
          <a:r>
            <a:rPr lang="en-US" sz="2400" b="1" i="0" u="none" strike="noStrike">
              <a:solidFill>
                <a:schemeClr val="bg1"/>
              </a:solidFill>
              <a:latin typeface="Calibri"/>
              <a:ea typeface="Calibri"/>
              <a:cs typeface="Calibri"/>
            </a:rPr>
            <a:t> V</a:t>
          </a:r>
          <a:endParaRPr lang="en-IN" sz="2400" b="1">
            <a:solidFill>
              <a:schemeClr val="bg1"/>
            </a:solidFill>
          </a:endParaRPr>
        </a:p>
      </xdr:txBody>
    </xdr:sp>
    <xdr:clientData/>
  </xdr:twoCellAnchor>
  <xdr:twoCellAnchor editAs="oneCell">
    <xdr:from>
      <xdr:col>13</xdr:col>
      <xdr:colOff>564179</xdr:colOff>
      <xdr:row>10</xdr:row>
      <xdr:rowOff>15899</xdr:rowOff>
    </xdr:from>
    <xdr:to>
      <xdr:col>15</xdr:col>
      <xdr:colOff>83599</xdr:colOff>
      <xdr:row>13</xdr:row>
      <xdr:rowOff>99166</xdr:rowOff>
    </xdr:to>
    <xdr:pic>
      <xdr:nvPicPr>
        <xdr:cNvPr id="22" name="Picture 21">
          <a:extLst>
            <a:ext uri="{FF2B5EF4-FFF2-40B4-BE49-F238E27FC236}">
              <a16:creationId xmlns:a16="http://schemas.microsoft.com/office/drawing/2014/main" id="{66A07C8F-B11B-6CAA-CA6C-C9DF3909677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50000"/>
                  </a14:imgEffect>
                </a14:imgLayer>
              </a14:imgProps>
            </a:ext>
          </a:extLst>
        </a:blip>
        <a:stretch>
          <a:fillRect/>
        </a:stretch>
      </xdr:blipFill>
      <xdr:spPr>
        <a:xfrm>
          <a:off x="8518997" y="1562990"/>
          <a:ext cx="743238" cy="637449"/>
        </a:xfrm>
        <a:prstGeom prst="rect">
          <a:avLst/>
        </a:prstGeom>
      </xdr:spPr>
    </xdr:pic>
    <xdr:clientData/>
  </xdr:twoCellAnchor>
  <xdr:twoCellAnchor>
    <xdr:from>
      <xdr:col>20</xdr:col>
      <xdr:colOff>161636</xdr:colOff>
      <xdr:row>9</xdr:row>
      <xdr:rowOff>103907</xdr:rowOff>
    </xdr:from>
    <xdr:to>
      <xdr:col>26</xdr:col>
      <xdr:colOff>392546</xdr:colOff>
      <xdr:row>15</xdr:row>
      <xdr:rowOff>114492</xdr:rowOff>
    </xdr:to>
    <xdr:sp macro="" textlink="Data!F203">
      <xdr:nvSpPr>
        <xdr:cNvPr id="28" name="Rectangle: Rounded Corners 27">
          <a:extLst>
            <a:ext uri="{FF2B5EF4-FFF2-40B4-BE49-F238E27FC236}">
              <a16:creationId xmlns:a16="http://schemas.microsoft.com/office/drawing/2014/main" id="{F680EE47-DDFE-4C4A-99EE-634649F1819C}"/>
            </a:ext>
          </a:extLst>
        </xdr:cNvPr>
        <xdr:cNvSpPr/>
      </xdr:nvSpPr>
      <xdr:spPr>
        <a:xfrm>
          <a:off x="12399818" y="1466271"/>
          <a:ext cx="3902364" cy="1118948"/>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800" b="1" i="0" u="none" strike="noStrike">
              <a:solidFill>
                <a:schemeClr val="bg1"/>
              </a:solidFill>
              <a:latin typeface="Calibri"/>
              <a:ea typeface="Calibri"/>
              <a:cs typeface="Calibri"/>
            </a:rPr>
            <a:t>AVERAGE CURRENT </a:t>
          </a:r>
          <a:fld id="{51E29F8E-F688-49BB-AAFB-2177A63DD9E0}" type="TxLink">
            <a:rPr lang="en-US" sz="2800" b="1" i="0" u="none" strike="noStrike">
              <a:solidFill>
                <a:schemeClr val="bg1"/>
              </a:solidFill>
              <a:latin typeface="Calibri"/>
              <a:ea typeface="Calibri"/>
              <a:cs typeface="Calibri"/>
            </a:rPr>
            <a:t>71.61</a:t>
          </a:fld>
          <a:r>
            <a:rPr lang="en-US" sz="2800" b="1" i="0" u="none" strike="noStrike">
              <a:solidFill>
                <a:schemeClr val="bg1"/>
              </a:solidFill>
              <a:latin typeface="Calibri"/>
              <a:ea typeface="Calibri"/>
              <a:cs typeface="Calibri"/>
            </a:rPr>
            <a:t> A</a:t>
          </a:r>
          <a:endParaRPr lang="en-IN" sz="2800" b="1">
            <a:solidFill>
              <a:schemeClr val="bg1"/>
            </a:solidFill>
          </a:endParaRPr>
        </a:p>
      </xdr:txBody>
    </xdr:sp>
    <xdr:clientData/>
  </xdr:twoCellAnchor>
  <xdr:twoCellAnchor editAs="oneCell">
    <xdr:from>
      <xdr:col>20</xdr:col>
      <xdr:colOff>159100</xdr:colOff>
      <xdr:row>10</xdr:row>
      <xdr:rowOff>11142</xdr:rowOff>
    </xdr:from>
    <xdr:to>
      <xdr:col>21</xdr:col>
      <xdr:colOff>229812</xdr:colOff>
      <xdr:row>13</xdr:row>
      <xdr:rowOff>40372</xdr:rowOff>
    </xdr:to>
    <xdr:pic>
      <xdr:nvPicPr>
        <xdr:cNvPr id="23" name="Picture 22">
          <a:extLst>
            <a:ext uri="{FF2B5EF4-FFF2-40B4-BE49-F238E27FC236}">
              <a16:creationId xmlns:a16="http://schemas.microsoft.com/office/drawing/2014/main" id="{E918D400-00A1-E1C0-847E-B92E02062D9F}"/>
            </a:ext>
          </a:extLst>
        </xdr:cNvPr>
        <xdr:cNvPicPr>
          <a:picLocks noChangeAspect="1"/>
        </xdr:cNvPicPr>
      </xdr:nvPicPr>
      <xdr:blipFill>
        <a:blip xmlns:r="http://schemas.openxmlformats.org/officeDocument/2006/relationships" r:embed="rId11"/>
        <a:stretch>
          <a:fillRect/>
        </a:stretch>
      </xdr:blipFill>
      <xdr:spPr>
        <a:xfrm>
          <a:off x="12397282" y="1558233"/>
          <a:ext cx="682621" cy="5834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refreshedDate="46304.750902199077" createdVersion="8" refreshedVersion="8" minRefreshableVersion="3" recordCount="200" xr:uid="{A0AC13FD-DD26-4B8F-9CA6-C9388267F958}">
  <cacheSource type="worksheet">
    <worksheetSource name="Table1"/>
  </cacheSource>
  <cacheFields count="8">
    <cacheField name="Timestamp" numFmtId="164">
      <sharedItems containsSemiMixedTypes="0" containsNonDate="0" containsDate="1" containsString="0" minDate="2026-09-01T00:00:00" maxDate="2026-10-01T00:00:00"/>
    </cacheField>
    <cacheField name="Location" numFmtId="0">
      <sharedItems count="8">
        <s v="Outer Ring Road (IIT Delhi)"/>
        <s v="NH8 (near Airport)"/>
        <s v="DND Flyway"/>
        <s v="AIIMS Crossing"/>
        <s v="Chandni Chowk"/>
        <s v="India Gate Circle"/>
        <s v="Rajiv Chowk Metro Area"/>
        <s v="Connaught Place"/>
      </sharedItems>
    </cacheField>
    <cacheField name="Building Type" numFmtId="0">
      <sharedItems count="7">
        <s v="Office Building"/>
        <s v="Data Center"/>
        <s v="School"/>
        <s v="Hospital"/>
        <s v="Industrial Unit"/>
        <s v="Shopping Complex"/>
        <s v="Residential Tower"/>
      </sharedItems>
    </cacheField>
    <cacheField name="Energy Source" numFmtId="0">
      <sharedItems count="2">
        <s v="Grid"/>
        <s v="Solar + Grid"/>
      </sharedItems>
    </cacheField>
    <cacheField name="Voltage (V)" numFmtId="0">
      <sharedItems containsSemiMixedTypes="0" containsString="0" containsNumber="1" minValue="224.6" maxValue="238.3"/>
    </cacheField>
    <cacheField name="Current (A)" numFmtId="0">
      <sharedItems containsSemiMixedTypes="0" containsString="0" containsNumber="1" minValue="24" maxValue="127"/>
    </cacheField>
    <cacheField name="Power Load (kW)" numFmtId="0">
      <sharedItems containsSemiMixedTypes="0" containsString="0" containsNumber="1" minValue="5.45" maxValue="29.14"/>
    </cacheField>
    <cacheField name="Energy Consumption (kWh)" numFmtId="0">
      <sharedItems containsSemiMixedTypes="0" containsString="0" containsNumber="1" minValue="1.4999999999999999E-2" maxValue="8.1000000000000003E-2" count="56">
        <n v="2.5000000000000001E-2"/>
        <n v="6.4000000000000001E-2"/>
        <n v="1.9E-2"/>
        <n v="5.5E-2"/>
        <n v="5.8999999999999997E-2"/>
        <n v="6.2E-2"/>
        <n v="2.7E-2"/>
        <n v="0.02"/>
        <n v="3.7999999999999999E-2"/>
        <n v="2.3E-2"/>
        <n v="4.5999999999999999E-2"/>
        <n v="6.3E-2"/>
        <n v="6.8000000000000005E-2"/>
        <n v="0.06"/>
        <n v="6.9000000000000006E-2"/>
        <n v="5.7000000000000002E-2"/>
        <n v="6.6000000000000003E-2"/>
        <n v="0.05"/>
        <n v="5.6000000000000001E-2"/>
        <n v="3.2000000000000001E-2"/>
        <n v="3.5999999999999997E-2"/>
        <n v="0.08"/>
        <n v="2.1000000000000001E-2"/>
        <n v="5.8000000000000003E-2"/>
        <n v="4.2000000000000003E-2"/>
        <n v="5.1999999999999998E-2"/>
        <n v="4.3999999999999997E-2"/>
        <n v="1.6E-2"/>
        <n v="4.8000000000000001E-2"/>
        <n v="7.4999999999999997E-2"/>
        <n v="3.3000000000000002E-2"/>
        <n v="2.9000000000000001E-2"/>
        <n v="4.9000000000000002E-2"/>
        <n v="1.7999999999999999E-2"/>
        <n v="0.04"/>
        <n v="2.4E-2"/>
        <n v="6.5000000000000002E-2"/>
        <n v="3.9E-2"/>
        <n v="2.8000000000000001E-2"/>
        <n v="5.2999999999999999E-2"/>
        <n v="5.3999999999999999E-2"/>
        <n v="1.4999999999999999E-2"/>
        <n v="3.6999999999999998E-2"/>
        <n v="4.4999999999999998E-2"/>
        <n v="7.3999999999999996E-2"/>
        <n v="0.03"/>
        <n v="7.0000000000000007E-2"/>
        <n v="5.0999999999999997E-2"/>
        <n v="7.6999999999999999E-2"/>
        <n v="7.5999999999999998E-2"/>
        <n v="3.1E-2"/>
        <n v="4.2999999999999997E-2"/>
        <n v="1.7000000000000001E-2"/>
        <n v="8.1000000000000003E-2"/>
        <n v="7.8E-2"/>
        <n v="4.7E-2"/>
      </sharedItems>
    </cacheField>
  </cacheFields>
  <extLst>
    <ext xmlns:x14="http://schemas.microsoft.com/office/spreadsheetml/2009/9/main" uri="{725AE2AE-9491-48be-B2B4-4EB974FC3084}">
      <x14:pivotCacheDefinition pivotCacheId="509392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6-09-14T20:15:41"/>
    <x v="0"/>
    <x v="0"/>
    <x v="0"/>
    <n v="229.3"/>
    <n v="39.799999999999997"/>
    <n v="9.1199999999999992"/>
    <x v="0"/>
  </r>
  <r>
    <d v="2026-09-03T04:27:44"/>
    <x v="0"/>
    <x v="1"/>
    <x v="0"/>
    <n v="230.4"/>
    <n v="99.4"/>
    <n v="22.91"/>
    <x v="1"/>
  </r>
  <r>
    <d v="2026-09-05T08:55:29"/>
    <x v="1"/>
    <x v="2"/>
    <x v="1"/>
    <n v="231.6"/>
    <n v="30.1"/>
    <n v="6.98"/>
    <x v="2"/>
  </r>
  <r>
    <d v="2026-09-24T00:36:11"/>
    <x v="0"/>
    <x v="3"/>
    <x v="0"/>
    <n v="231.4"/>
    <n v="84.9"/>
    <n v="19.649999999999999"/>
    <x v="3"/>
  </r>
  <r>
    <d v="2026-09-19T15:40:42"/>
    <x v="2"/>
    <x v="3"/>
    <x v="0"/>
    <n v="228.3"/>
    <n v="92.9"/>
    <n v="21.22"/>
    <x v="4"/>
  </r>
  <r>
    <d v="2026-09-17T18:12:40"/>
    <x v="0"/>
    <x v="4"/>
    <x v="0"/>
    <n v="231.2"/>
    <n v="95.8"/>
    <n v="22.14"/>
    <x v="5"/>
  </r>
  <r>
    <d v="2026-09-11T01:19:36"/>
    <x v="3"/>
    <x v="0"/>
    <x v="0"/>
    <n v="231.6"/>
    <n v="41.3"/>
    <n v="9.57"/>
    <x v="6"/>
  </r>
  <r>
    <d v="2026-09-25T18:34:22"/>
    <x v="4"/>
    <x v="2"/>
    <x v="1"/>
    <n v="237.3"/>
    <n v="31"/>
    <n v="7.35"/>
    <x v="7"/>
  </r>
  <r>
    <d v="2026-09-26T08:33:46"/>
    <x v="2"/>
    <x v="5"/>
    <x v="1"/>
    <n v="235.7"/>
    <n v="57.5"/>
    <n v="13.55"/>
    <x v="8"/>
  </r>
  <r>
    <d v="2026-09-07T13:23:13"/>
    <x v="5"/>
    <x v="0"/>
    <x v="0"/>
    <n v="228.9"/>
    <n v="35.799999999999997"/>
    <n v="8.1999999999999993"/>
    <x v="9"/>
  </r>
  <r>
    <d v="2026-09-10T14:50:03"/>
    <x v="3"/>
    <x v="3"/>
    <x v="0"/>
    <n v="230.3"/>
    <n v="71.3"/>
    <n v="16.41"/>
    <x v="10"/>
  </r>
  <r>
    <d v="2026-09-27T12:32:34"/>
    <x v="4"/>
    <x v="4"/>
    <x v="0"/>
    <n v="227.3"/>
    <n v="99.3"/>
    <n v="22.57"/>
    <x v="11"/>
  </r>
  <r>
    <d v="2026-09-25T01:05:08"/>
    <x v="5"/>
    <x v="1"/>
    <x v="0"/>
    <n v="229.5"/>
    <n v="106.4"/>
    <n v="24.41"/>
    <x v="12"/>
  </r>
  <r>
    <d v="2026-09-12T08:48:14"/>
    <x v="6"/>
    <x v="1"/>
    <x v="0"/>
    <n v="231.8"/>
    <n v="93.7"/>
    <n v="21.73"/>
    <x v="13"/>
  </r>
  <r>
    <d v="2026-09-28T02:31:58"/>
    <x v="6"/>
    <x v="1"/>
    <x v="0"/>
    <n v="234"/>
    <n v="105.8"/>
    <n v="24.76"/>
    <x v="14"/>
  </r>
  <r>
    <d v="2026-09-26T19:03:19"/>
    <x v="0"/>
    <x v="1"/>
    <x v="0"/>
    <n v="229.2"/>
    <n v="94.5"/>
    <n v="21.65"/>
    <x v="13"/>
  </r>
  <r>
    <d v="2026-09-09T03:51:33"/>
    <x v="5"/>
    <x v="3"/>
    <x v="0"/>
    <n v="229.4"/>
    <n v="89.8"/>
    <n v="20.61"/>
    <x v="15"/>
  </r>
  <r>
    <d v="2026-09-23T03:37:05"/>
    <x v="3"/>
    <x v="0"/>
    <x v="0"/>
    <n v="225.6"/>
    <n v="43"/>
    <n v="9.7100000000000009"/>
    <x v="6"/>
  </r>
  <r>
    <d v="2026-09-12T22:47:38"/>
    <x v="5"/>
    <x v="1"/>
    <x v="0"/>
    <n v="230.6"/>
    <n v="102.7"/>
    <n v="23.69"/>
    <x v="16"/>
  </r>
  <r>
    <d v="2026-09-10T21:49:45"/>
    <x v="6"/>
    <x v="3"/>
    <x v="0"/>
    <n v="228.3"/>
    <n v="78.3"/>
    <n v="17.87"/>
    <x v="17"/>
  </r>
  <r>
    <d v="2026-09-19T01:41:18"/>
    <x v="3"/>
    <x v="3"/>
    <x v="0"/>
    <n v="229.7"/>
    <n v="87.7"/>
    <n v="20.149999999999999"/>
    <x v="18"/>
  </r>
  <r>
    <d v="2026-09-03T07:57:35"/>
    <x v="0"/>
    <x v="6"/>
    <x v="0"/>
    <n v="228.8"/>
    <n v="50.3"/>
    <n v="11.5"/>
    <x v="19"/>
  </r>
  <r>
    <d v="2026-09-22T13:37:41"/>
    <x v="2"/>
    <x v="5"/>
    <x v="1"/>
    <n v="230.8"/>
    <n v="56.8"/>
    <n v="13.11"/>
    <x v="20"/>
  </r>
  <r>
    <d v="2026-09-14T13:15:59"/>
    <x v="5"/>
    <x v="4"/>
    <x v="0"/>
    <n v="226.6"/>
    <n v="79.599999999999994"/>
    <n v="18.03"/>
    <x v="17"/>
  </r>
  <r>
    <d v="2026-09-10T11:20:12"/>
    <x v="6"/>
    <x v="1"/>
    <x v="0"/>
    <n v="227.3"/>
    <n v="127"/>
    <n v="28.87"/>
    <x v="21"/>
  </r>
  <r>
    <d v="2026-09-09T17:50:57"/>
    <x v="6"/>
    <x v="2"/>
    <x v="1"/>
    <n v="236.3"/>
    <n v="32"/>
    <n v="7.57"/>
    <x v="22"/>
  </r>
  <r>
    <d v="2026-09-13T05:47:20"/>
    <x v="5"/>
    <x v="6"/>
    <x v="0"/>
    <n v="227.8"/>
    <n v="56.9"/>
    <n v="12.97"/>
    <x v="20"/>
  </r>
  <r>
    <d v="2026-09-10T18:19:54"/>
    <x v="2"/>
    <x v="1"/>
    <x v="0"/>
    <n v="228.3"/>
    <n v="99.3"/>
    <n v="22.66"/>
    <x v="11"/>
  </r>
  <r>
    <d v="2026-09-19T05:11:09"/>
    <x v="1"/>
    <x v="3"/>
    <x v="0"/>
    <n v="235.6"/>
    <n v="95.5"/>
    <n v="22.5"/>
    <x v="5"/>
  </r>
  <r>
    <d v="2026-09-20T05:40:06"/>
    <x v="0"/>
    <x v="3"/>
    <x v="0"/>
    <n v="238.3"/>
    <n v="88.9"/>
    <n v="21.18"/>
    <x v="4"/>
  </r>
  <r>
    <d v="2026-09-02T07:28:39"/>
    <x v="7"/>
    <x v="3"/>
    <x v="0"/>
    <n v="228.1"/>
    <n v="91"/>
    <n v="20.75"/>
    <x v="23"/>
  </r>
  <r>
    <d v="2026-09-03T14:57:17"/>
    <x v="2"/>
    <x v="5"/>
    <x v="1"/>
    <n v="230.1"/>
    <n v="65.7"/>
    <n v="15.12"/>
    <x v="24"/>
  </r>
  <r>
    <d v="2026-09-09T00:21:43"/>
    <x v="5"/>
    <x v="0"/>
    <x v="0"/>
    <n v="231.9"/>
    <n v="39.200000000000003"/>
    <n v="9.09"/>
    <x v="0"/>
  </r>
  <r>
    <d v="2026-09-11T22:18:42"/>
    <x v="6"/>
    <x v="3"/>
    <x v="0"/>
    <n v="235.3"/>
    <n v="69.900000000000006"/>
    <n v="16.45"/>
    <x v="10"/>
  </r>
  <r>
    <d v="2026-09-22T20:37:23"/>
    <x v="5"/>
    <x v="4"/>
    <x v="0"/>
    <n v="228.5"/>
    <n v="104.7"/>
    <n v="23.93"/>
    <x v="16"/>
  </r>
  <r>
    <d v="2026-09-16T03:44:19"/>
    <x v="2"/>
    <x v="0"/>
    <x v="0"/>
    <n v="230.4"/>
    <n v="42.3"/>
    <n v="9.74"/>
    <x v="6"/>
  </r>
  <r>
    <d v="2026-09-20T16:09:39"/>
    <x v="0"/>
    <x v="4"/>
    <x v="0"/>
    <n v="232.9"/>
    <n v="80.099999999999994"/>
    <n v="18.66"/>
    <x v="25"/>
  </r>
  <r>
    <d v="2026-09-20T23:09:21"/>
    <x v="7"/>
    <x v="1"/>
    <x v="0"/>
    <n v="232.1"/>
    <n v="99.2"/>
    <n v="23.02"/>
    <x v="1"/>
  </r>
  <r>
    <d v="2026-09-24T21:35:17"/>
    <x v="7"/>
    <x v="5"/>
    <x v="1"/>
    <n v="230.1"/>
    <n v="68.8"/>
    <n v="15.84"/>
    <x v="26"/>
  </r>
  <r>
    <d v="2026-09-12T01:48:33"/>
    <x v="6"/>
    <x v="2"/>
    <x v="1"/>
    <n v="230.7"/>
    <n v="25.3"/>
    <n v="5.83"/>
    <x v="27"/>
  </r>
  <r>
    <d v="2026-09-12T12:18:05"/>
    <x v="3"/>
    <x v="5"/>
    <x v="1"/>
    <n v="227.6"/>
    <n v="76.400000000000006"/>
    <n v="17.38"/>
    <x v="28"/>
  </r>
  <r>
    <d v="2026-09-29T17:00:18"/>
    <x v="5"/>
    <x v="1"/>
    <x v="0"/>
    <n v="230.4"/>
    <n v="117.4"/>
    <n v="27.05"/>
    <x v="29"/>
  </r>
  <r>
    <d v="2026-09-06T12:54:16"/>
    <x v="7"/>
    <x v="2"/>
    <x v="1"/>
    <n v="230.3"/>
    <n v="30.9"/>
    <n v="7.12"/>
    <x v="7"/>
  </r>
  <r>
    <d v="2026-09-04T11:56:23"/>
    <x v="2"/>
    <x v="6"/>
    <x v="0"/>
    <n v="231.6"/>
    <n v="50.9"/>
    <n v="11.8"/>
    <x v="30"/>
  </r>
  <r>
    <d v="2026-09-18T18:41:36"/>
    <x v="7"/>
    <x v="0"/>
    <x v="0"/>
    <n v="229.6"/>
    <n v="45.1"/>
    <n v="10.35"/>
    <x v="31"/>
  </r>
  <r>
    <d v="2026-09-29T10:00:36"/>
    <x v="4"/>
    <x v="4"/>
    <x v="0"/>
    <n v="232.2"/>
    <n v="92.7"/>
    <n v="21.53"/>
    <x v="13"/>
  </r>
  <r>
    <d v="2026-09-05T05:25:38"/>
    <x v="7"/>
    <x v="3"/>
    <x v="0"/>
    <n v="233.5"/>
    <n v="86.9"/>
    <n v="20.29"/>
    <x v="18"/>
  </r>
  <r>
    <d v="2026-09-03T18:27:08"/>
    <x v="5"/>
    <x v="4"/>
    <x v="0"/>
    <n v="231.4"/>
    <n v="76.8"/>
    <n v="17.77"/>
    <x v="32"/>
  </r>
  <r>
    <d v="2026-09-21T20:08:27"/>
    <x v="0"/>
    <x v="2"/>
    <x v="1"/>
    <n v="231.9"/>
    <n v="27.6"/>
    <n v="6.4"/>
    <x v="33"/>
  </r>
  <r>
    <d v="2026-09-13T12:47:02"/>
    <x v="1"/>
    <x v="1"/>
    <x v="0"/>
    <n v="231.1"/>
    <n v="89.4"/>
    <n v="20.67"/>
    <x v="15"/>
  </r>
  <r>
    <d v="2026-09-17T14:42:49"/>
    <x v="6"/>
    <x v="1"/>
    <x v="0"/>
    <n v="231"/>
    <n v="106.9"/>
    <n v="24.7"/>
    <x v="14"/>
  </r>
  <r>
    <d v="2026-09-26T05:03:55"/>
    <x v="6"/>
    <x v="5"/>
    <x v="1"/>
    <n v="229.2"/>
    <n v="63.1"/>
    <n v="14.46"/>
    <x v="34"/>
  </r>
  <r>
    <d v="2026-09-01T17:29:15"/>
    <x v="5"/>
    <x v="6"/>
    <x v="0"/>
    <n v="231.8"/>
    <n v="45.5"/>
    <n v="10.55"/>
    <x v="31"/>
  </r>
  <r>
    <d v="2026-09-19T08:41:00"/>
    <x v="2"/>
    <x v="3"/>
    <x v="0"/>
    <n v="230.8"/>
    <n v="71.5"/>
    <n v="16.5"/>
    <x v="10"/>
  </r>
  <r>
    <d v="2026-09-18T01:12:22"/>
    <x v="0"/>
    <x v="3"/>
    <x v="0"/>
    <n v="236.2"/>
    <n v="84.1"/>
    <n v="19.86"/>
    <x v="3"/>
  </r>
  <r>
    <d v="2026-09-11T15:19:00"/>
    <x v="0"/>
    <x v="0"/>
    <x v="0"/>
    <n v="234.9"/>
    <n v="37.200000000000003"/>
    <n v="8.73"/>
    <x v="35"/>
  </r>
  <r>
    <d v="2026-09-21T09:38:54"/>
    <x v="0"/>
    <x v="3"/>
    <x v="0"/>
    <n v="232"/>
    <n v="95.7"/>
    <n v="22.2"/>
    <x v="5"/>
  </r>
  <r>
    <d v="2026-09-15T06:45:14"/>
    <x v="0"/>
    <x v="5"/>
    <x v="1"/>
    <n v="229.1"/>
    <n v="69.2"/>
    <n v="15.85"/>
    <x v="26"/>
  </r>
  <r>
    <d v="2026-09-26T01:34:04"/>
    <x v="6"/>
    <x v="1"/>
    <x v="0"/>
    <n v="228.2"/>
    <n v="102.5"/>
    <n v="23.39"/>
    <x v="36"/>
  </r>
  <r>
    <d v="2026-09-14T23:45:32"/>
    <x v="5"/>
    <x v="2"/>
    <x v="1"/>
    <n v="234"/>
    <n v="29.1"/>
    <n v="6.82"/>
    <x v="2"/>
  </r>
  <r>
    <d v="2026-09-25T15:04:31"/>
    <x v="3"/>
    <x v="4"/>
    <x v="0"/>
    <n v="231.7"/>
    <n v="74.7"/>
    <n v="17.309999999999999"/>
    <x v="28"/>
  </r>
  <r>
    <d v="2026-09-15T03:15:23"/>
    <x v="3"/>
    <x v="1"/>
    <x v="0"/>
    <n v="232.2"/>
    <n v="124.2"/>
    <n v="28.84"/>
    <x v="21"/>
  </r>
  <r>
    <d v="2026-09-05T12:25:20"/>
    <x v="5"/>
    <x v="6"/>
    <x v="0"/>
    <n v="226.6"/>
    <n v="53"/>
    <n v="12.02"/>
    <x v="30"/>
  </r>
  <r>
    <d v="2026-09-02T17:58:11"/>
    <x v="0"/>
    <x v="4"/>
    <x v="0"/>
    <n v="233.3"/>
    <n v="98.7"/>
    <n v="23.03"/>
    <x v="1"/>
  </r>
  <r>
    <d v="2026-09-06T02:24:43"/>
    <x v="5"/>
    <x v="6"/>
    <x v="0"/>
    <n v="232.1"/>
    <n v="44.3"/>
    <n v="10.28"/>
    <x v="31"/>
  </r>
  <r>
    <d v="2026-09-18T08:12:04"/>
    <x v="3"/>
    <x v="6"/>
    <x v="0"/>
    <n v="228.2"/>
    <n v="52.8"/>
    <n v="12.04"/>
    <x v="30"/>
  </r>
  <r>
    <d v="2026-09-07T02:53:40"/>
    <x v="0"/>
    <x v="4"/>
    <x v="0"/>
    <n v="229.8"/>
    <n v="90.6"/>
    <n v="20.83"/>
    <x v="23"/>
  </r>
  <r>
    <d v="2026-09-28T13:01:30"/>
    <x v="1"/>
    <x v="6"/>
    <x v="0"/>
    <n v="231.7"/>
    <n v="60.5"/>
    <n v="14.01"/>
    <x v="37"/>
  </r>
  <r>
    <d v="2026-09-14T02:46:26"/>
    <x v="5"/>
    <x v="0"/>
    <x v="0"/>
    <n v="231.1"/>
    <n v="44"/>
    <n v="10.16"/>
    <x v="38"/>
  </r>
  <r>
    <d v="2026-09-20T19:39:30"/>
    <x v="7"/>
    <x v="3"/>
    <x v="0"/>
    <n v="230.3"/>
    <n v="82.8"/>
    <n v="19.07"/>
    <x v="39"/>
  </r>
  <r>
    <d v="2026-09-08T10:22:19"/>
    <x v="5"/>
    <x v="1"/>
    <x v="0"/>
    <n v="230.7"/>
    <n v="98.3"/>
    <n v="22.67"/>
    <x v="11"/>
  </r>
  <r>
    <d v="2026-09-19T12:10:51"/>
    <x v="3"/>
    <x v="5"/>
    <x v="1"/>
    <n v="230.4"/>
    <n v="62.8"/>
    <n v="14.47"/>
    <x v="34"/>
  </r>
  <r>
    <d v="2026-09-24T14:35:35"/>
    <x v="5"/>
    <x v="3"/>
    <x v="0"/>
    <n v="231.4"/>
    <n v="83.8"/>
    <n v="19.39"/>
    <x v="40"/>
  </r>
  <r>
    <d v="2026-09-06T23:23:49"/>
    <x v="4"/>
    <x v="0"/>
    <x v="0"/>
    <n v="234.7"/>
    <n v="41.2"/>
    <n v="9.68"/>
    <x v="6"/>
  </r>
  <r>
    <d v="2026-09-18T04:42:13"/>
    <x v="3"/>
    <x v="2"/>
    <x v="1"/>
    <n v="224.6"/>
    <n v="24.3"/>
    <n v="5.46"/>
    <x v="41"/>
  </r>
  <r>
    <d v="2026-09-17T11:12:58"/>
    <x v="7"/>
    <x v="3"/>
    <x v="0"/>
    <n v="230.4"/>
    <n v="93.4"/>
    <n v="21.51"/>
    <x v="13"/>
  </r>
  <r>
    <d v="2026-09-04T18:56:05"/>
    <x v="3"/>
    <x v="6"/>
    <x v="0"/>
    <n v="231.4"/>
    <n v="59.8"/>
    <n v="13.83"/>
    <x v="8"/>
  </r>
  <r>
    <d v="2026-09-21T06:09:03"/>
    <x v="1"/>
    <x v="5"/>
    <x v="1"/>
    <n v="231.7"/>
    <n v="57.9"/>
    <n v="13.41"/>
    <x v="42"/>
  </r>
  <r>
    <d v="2026-09-15T13:44:55"/>
    <x v="7"/>
    <x v="3"/>
    <x v="0"/>
    <n v="230.1"/>
    <n v="85.3"/>
    <n v="19.62"/>
    <x v="3"/>
  </r>
  <r>
    <d v="2026-09-17T04:13:16"/>
    <x v="5"/>
    <x v="2"/>
    <x v="1"/>
    <n v="226.6"/>
    <n v="25"/>
    <n v="5.67"/>
    <x v="27"/>
  </r>
  <r>
    <d v="2026-09-01T06:59:42"/>
    <x v="4"/>
    <x v="4"/>
    <x v="0"/>
    <n v="231.8"/>
    <n v="95.8"/>
    <n v="22.2"/>
    <x v="5"/>
  </r>
  <r>
    <d v="2026-09-12T05:18:24"/>
    <x v="6"/>
    <x v="3"/>
    <x v="0"/>
    <n v="235.3"/>
    <n v="75.400000000000006"/>
    <n v="17.73"/>
    <x v="32"/>
  </r>
  <r>
    <d v="2026-09-07T16:53:04"/>
    <x v="6"/>
    <x v="5"/>
    <x v="1"/>
    <n v="227.2"/>
    <n v="71.7"/>
    <n v="16.28"/>
    <x v="43"/>
  </r>
  <r>
    <d v="2026-09-28T06:01:49"/>
    <x v="3"/>
    <x v="1"/>
    <x v="0"/>
    <n v="233.2"/>
    <n v="114.8"/>
    <n v="26.77"/>
    <x v="44"/>
  </r>
  <r>
    <d v="2026-09-28T20:01:12"/>
    <x v="6"/>
    <x v="2"/>
    <x v="1"/>
    <n v="230.2"/>
    <n v="31.5"/>
    <n v="7.24"/>
    <x v="7"/>
  </r>
  <r>
    <d v="2026-09-13T09:17:11"/>
    <x v="3"/>
    <x v="2"/>
    <x v="1"/>
    <n v="230.8"/>
    <n v="24.6"/>
    <n v="5.67"/>
    <x v="27"/>
  </r>
  <r>
    <d v="2026-09-24T11:05:44"/>
    <x v="2"/>
    <x v="0"/>
    <x v="0"/>
    <n v="228.4"/>
    <n v="49.8"/>
    <n v="11.38"/>
    <x v="19"/>
  </r>
  <r>
    <d v="2026-09-06T05:54:34"/>
    <x v="7"/>
    <x v="6"/>
    <x v="0"/>
    <n v="230.2"/>
    <n v="47.4"/>
    <n v="10.92"/>
    <x v="45"/>
  </r>
  <r>
    <d v="2026-09-28T16:31:21"/>
    <x v="6"/>
    <x v="1"/>
    <x v="0"/>
    <n v="234.3"/>
    <n v="88"/>
    <n v="20.63"/>
    <x v="15"/>
  </r>
  <r>
    <d v="2026-09-09T21:20:48"/>
    <x v="1"/>
    <x v="1"/>
    <x v="0"/>
    <n v="232.5"/>
    <n v="108.6"/>
    <n v="25.24"/>
    <x v="46"/>
  </r>
  <r>
    <d v="2026-09-04T04:56:41"/>
    <x v="1"/>
    <x v="3"/>
    <x v="0"/>
    <n v="235.3"/>
    <n v="78"/>
    <n v="18.36"/>
    <x v="47"/>
  </r>
  <r>
    <d v="2026-09-21T13:08:45"/>
    <x v="0"/>
    <x v="1"/>
    <x v="0"/>
    <n v="233.9"/>
    <n v="118.4"/>
    <n v="27.69"/>
    <x v="48"/>
  </r>
  <r>
    <d v="2026-09-15T17:14:46"/>
    <x v="6"/>
    <x v="1"/>
    <x v="0"/>
    <n v="232.1"/>
    <n v="118.5"/>
    <n v="27.5"/>
    <x v="49"/>
  </r>
  <r>
    <d v="2026-09-05T19:25:02"/>
    <x v="0"/>
    <x v="6"/>
    <x v="0"/>
    <n v="235.4"/>
    <n v="48"/>
    <n v="11.3"/>
    <x v="50"/>
  </r>
  <r>
    <d v="2026-09-02T14:28:21"/>
    <x v="4"/>
    <x v="4"/>
    <x v="0"/>
    <n v="232.1"/>
    <n v="104.7"/>
    <n v="24.31"/>
    <x v="12"/>
  </r>
  <r>
    <d v="2026-09-29T06:30:45"/>
    <x v="0"/>
    <x v="6"/>
    <x v="0"/>
    <n v="233.1"/>
    <n v="48"/>
    <n v="11.19"/>
    <x v="50"/>
  </r>
  <r>
    <d v="2026-09-24T04:06:02"/>
    <x v="3"/>
    <x v="5"/>
    <x v="1"/>
    <n v="230.3"/>
    <n v="67.2"/>
    <n v="15.48"/>
    <x v="51"/>
  </r>
  <r>
    <d v="2026-09-01T20:59:06"/>
    <x v="4"/>
    <x v="2"/>
    <x v="1"/>
    <n v="231.2"/>
    <n v="26"/>
    <n v="6.02"/>
    <x v="52"/>
  </r>
  <r>
    <d v="2026-09-04T22:25:56"/>
    <x v="1"/>
    <x v="2"/>
    <x v="1"/>
    <n v="229.3"/>
    <n v="33.299999999999997"/>
    <n v="7.64"/>
    <x v="22"/>
  </r>
  <r>
    <d v="2026-09-18T11:41:55"/>
    <x v="0"/>
    <x v="0"/>
    <x v="0"/>
    <n v="233.5"/>
    <n v="37.299999999999997"/>
    <n v="8.6999999999999993"/>
    <x v="35"/>
  </r>
  <r>
    <d v="2026-09-01T13:59:24"/>
    <x v="4"/>
    <x v="1"/>
    <x v="0"/>
    <n v="228.1"/>
    <n v="90.7"/>
    <n v="20.7"/>
    <x v="23"/>
  </r>
  <r>
    <d v="2026-09-05T15:55:11"/>
    <x v="3"/>
    <x v="5"/>
    <x v="1"/>
    <n v="233"/>
    <n v="64.5"/>
    <n v="15.04"/>
    <x v="24"/>
  </r>
  <r>
    <d v="2026-09-21T16:38:36"/>
    <x v="2"/>
    <x v="1"/>
    <x v="0"/>
    <n v="230.5"/>
    <n v="126.4"/>
    <n v="29.14"/>
    <x v="53"/>
  </r>
  <r>
    <d v="2026-09-22T03:08:08"/>
    <x v="7"/>
    <x v="0"/>
    <x v="0"/>
    <n v="233.9"/>
    <n v="48.3"/>
    <n v="11.3"/>
    <x v="50"/>
  </r>
  <r>
    <d v="2026-09-16T21:13:34"/>
    <x v="0"/>
    <x v="1"/>
    <x v="0"/>
    <n v="232.9"/>
    <n v="115.8"/>
    <n v="26.97"/>
    <x v="29"/>
  </r>
  <r>
    <d v="2026-09-21T23:38:17"/>
    <x v="4"/>
    <x v="1"/>
    <x v="0"/>
    <n v="235.6"/>
    <n v="119.8"/>
    <n v="28.23"/>
    <x v="54"/>
  </r>
  <r>
    <d v="2026-09-02T10:58:30"/>
    <x v="6"/>
    <x v="1"/>
    <x v="0"/>
    <n v="232.8"/>
    <n v="121.4"/>
    <n v="28.26"/>
    <x v="54"/>
  </r>
  <r>
    <d v="2026-09-10T00:50:39"/>
    <x v="7"/>
    <x v="2"/>
    <x v="1"/>
    <n v="227.1"/>
    <n v="29.2"/>
    <n v="6.64"/>
    <x v="33"/>
  </r>
  <r>
    <d v="2026-09-17T07:43:07"/>
    <x v="0"/>
    <x v="3"/>
    <x v="0"/>
    <n v="230.8"/>
    <n v="77.900000000000006"/>
    <n v="17.97"/>
    <x v="17"/>
  </r>
  <r>
    <d v="2026-09-22T06:37:59"/>
    <x v="1"/>
    <x v="2"/>
    <x v="1"/>
    <n v="228.1"/>
    <n v="31.8"/>
    <n v="7.25"/>
    <x v="7"/>
  </r>
  <r>
    <d v="2026-09-25T04:34:58"/>
    <x v="1"/>
    <x v="5"/>
    <x v="1"/>
    <n v="229.7"/>
    <n v="71"/>
    <n v="16.3"/>
    <x v="43"/>
  </r>
  <r>
    <d v="2026-09-01T00:00:00"/>
    <x v="5"/>
    <x v="1"/>
    <x v="0"/>
    <n v="234.8"/>
    <n v="100.6"/>
    <n v="23.62"/>
    <x v="16"/>
  </r>
  <r>
    <d v="2026-09-29T20:30:09"/>
    <x v="7"/>
    <x v="3"/>
    <x v="0"/>
    <n v="232.6"/>
    <n v="70.7"/>
    <n v="16.440000000000001"/>
    <x v="10"/>
  </r>
  <r>
    <d v="2026-09-23T07:06:56"/>
    <x v="6"/>
    <x v="3"/>
    <x v="0"/>
    <n v="229.3"/>
    <n v="91.4"/>
    <n v="20.96"/>
    <x v="23"/>
  </r>
  <r>
    <d v="2026-09-11T04:49:27"/>
    <x v="6"/>
    <x v="3"/>
    <x v="0"/>
    <n v="228.5"/>
    <n v="77"/>
    <n v="17.600000000000001"/>
    <x v="32"/>
  </r>
  <r>
    <d v="2026-09-18T22:11:27"/>
    <x v="3"/>
    <x v="3"/>
    <x v="0"/>
    <n v="231.1"/>
    <n v="96.4"/>
    <n v="22.28"/>
    <x v="5"/>
  </r>
  <r>
    <d v="2026-09-10T07:50:21"/>
    <x v="2"/>
    <x v="0"/>
    <x v="0"/>
    <n v="228"/>
    <n v="39.4"/>
    <n v="8.98"/>
    <x v="0"/>
  </r>
  <r>
    <d v="2026-09-07T09:53:22"/>
    <x v="4"/>
    <x v="0"/>
    <x v="0"/>
    <n v="229.3"/>
    <n v="37.299999999999997"/>
    <n v="8.56"/>
    <x v="35"/>
  </r>
  <r>
    <d v="2026-09-24T18:05:26"/>
    <x v="7"/>
    <x v="5"/>
    <x v="1"/>
    <n v="231.8"/>
    <n v="74.400000000000006"/>
    <n v="17.239999999999998"/>
    <x v="28"/>
  </r>
  <r>
    <d v="2026-09-05T01:55:47"/>
    <x v="0"/>
    <x v="0"/>
    <x v="0"/>
    <n v="233.9"/>
    <n v="37"/>
    <n v="8.66"/>
    <x v="35"/>
  </r>
  <r>
    <d v="2026-09-06T19:53:58"/>
    <x v="1"/>
    <x v="3"/>
    <x v="0"/>
    <n v="232.5"/>
    <n v="73.2"/>
    <n v="17.03"/>
    <x v="55"/>
  </r>
  <r>
    <d v="2026-09-16T17:43:43"/>
    <x v="1"/>
    <x v="2"/>
    <x v="1"/>
    <n v="225.3"/>
    <n v="30.4"/>
    <n v="6.84"/>
    <x v="2"/>
  </r>
  <r>
    <d v="2026-09-23T14:06:38"/>
    <x v="0"/>
    <x v="2"/>
    <x v="1"/>
    <n v="231.8"/>
    <n v="32.299999999999997"/>
    <n v="7.49"/>
    <x v="22"/>
  </r>
  <r>
    <d v="2026-09-23T17:36:29"/>
    <x v="3"/>
    <x v="3"/>
    <x v="0"/>
    <n v="231.2"/>
    <n v="74.2"/>
    <n v="17.149999999999999"/>
    <x v="28"/>
  </r>
  <r>
    <d v="2026-09-04T15:26:14"/>
    <x v="5"/>
    <x v="1"/>
    <x v="0"/>
    <n v="232"/>
    <n v="99.4"/>
    <n v="23.06"/>
    <x v="1"/>
  </r>
  <r>
    <d v="2026-09-04T08:26:32"/>
    <x v="2"/>
    <x v="3"/>
    <x v="0"/>
    <n v="235"/>
    <n v="90.1"/>
    <n v="21.17"/>
    <x v="4"/>
  </r>
  <r>
    <d v="2026-09-27T19:32:16"/>
    <x v="4"/>
    <x v="0"/>
    <x v="0"/>
    <n v="225.8"/>
    <n v="51.3"/>
    <n v="11.58"/>
    <x v="19"/>
  </r>
  <r>
    <d v="2026-09-22T10:07:50"/>
    <x v="1"/>
    <x v="1"/>
    <x v="0"/>
    <n v="229.5"/>
    <n v="107.9"/>
    <n v="24.76"/>
    <x v="14"/>
  </r>
  <r>
    <d v="2026-09-12T19:17:47"/>
    <x v="2"/>
    <x v="2"/>
    <x v="1"/>
    <n v="232.5"/>
    <n v="24.7"/>
    <n v="5.75"/>
    <x v="27"/>
  </r>
  <r>
    <d v="2026-09-06T16:24:07"/>
    <x v="5"/>
    <x v="2"/>
    <x v="1"/>
    <n v="227"/>
    <n v="24"/>
    <n v="5.45"/>
    <x v="41"/>
  </r>
  <r>
    <d v="2026-09-25T11:34:40"/>
    <x v="3"/>
    <x v="3"/>
    <x v="0"/>
    <n v="234.7"/>
    <n v="74.099999999999994"/>
    <n v="17.38"/>
    <x v="28"/>
  </r>
  <r>
    <d v="2026-09-07T20:22:55"/>
    <x v="6"/>
    <x v="3"/>
    <x v="0"/>
    <n v="231.9"/>
    <n v="72"/>
    <n v="16.7"/>
    <x v="10"/>
  </r>
  <r>
    <d v="2026-09-14T16:45:50"/>
    <x v="5"/>
    <x v="0"/>
    <x v="0"/>
    <n v="233.1"/>
    <n v="45.2"/>
    <n v="10.53"/>
    <x v="31"/>
  </r>
  <r>
    <d v="2026-09-23T10:36:47"/>
    <x v="5"/>
    <x v="3"/>
    <x v="0"/>
    <n v="229.6"/>
    <n v="72.400000000000006"/>
    <n v="16.63"/>
    <x v="10"/>
  </r>
  <r>
    <d v="2026-09-07T06:23:31"/>
    <x v="4"/>
    <x v="1"/>
    <x v="0"/>
    <n v="233"/>
    <n v="106.5"/>
    <n v="24.81"/>
    <x v="14"/>
  </r>
  <r>
    <d v="2026-09-21T02:39:12"/>
    <x v="7"/>
    <x v="6"/>
    <x v="0"/>
    <n v="233.7"/>
    <n v="55.4"/>
    <n v="12.95"/>
    <x v="20"/>
  </r>
  <r>
    <d v="2026-09-01T10:29:33"/>
    <x v="5"/>
    <x v="2"/>
    <x v="1"/>
    <n v="231.6"/>
    <n v="29.3"/>
    <n v="6.79"/>
    <x v="2"/>
  </r>
  <r>
    <d v="2026-09-16T07:14:10"/>
    <x v="1"/>
    <x v="0"/>
    <x v="0"/>
    <n v="231.6"/>
    <n v="38.1"/>
    <n v="8.83"/>
    <x v="0"/>
  </r>
  <r>
    <d v="2026-09-08T17:22:01"/>
    <x v="5"/>
    <x v="6"/>
    <x v="0"/>
    <n v="231.7"/>
    <n v="57.9"/>
    <n v="13.42"/>
    <x v="42"/>
  </r>
  <r>
    <d v="2026-09-20T09:09:57"/>
    <x v="3"/>
    <x v="3"/>
    <x v="0"/>
    <n v="228.8"/>
    <n v="90.6"/>
    <n v="20.74"/>
    <x v="23"/>
  </r>
  <r>
    <d v="2026-09-27T05:32:52"/>
    <x v="5"/>
    <x v="4"/>
    <x v="0"/>
    <n v="230.6"/>
    <n v="98.4"/>
    <n v="22.7"/>
    <x v="11"/>
  </r>
  <r>
    <d v="2026-09-26T22:33:10"/>
    <x v="3"/>
    <x v="5"/>
    <x v="1"/>
    <n v="230.6"/>
    <n v="57.9"/>
    <n v="13.35"/>
    <x v="42"/>
  </r>
  <r>
    <d v="2026-09-27T23:02:07"/>
    <x v="2"/>
    <x v="5"/>
    <x v="1"/>
    <n v="232"/>
    <n v="57.4"/>
    <n v="13.31"/>
    <x v="42"/>
  </r>
  <r>
    <d v="2026-09-08T03:22:37"/>
    <x v="4"/>
    <x v="6"/>
    <x v="0"/>
    <n v="233.5"/>
    <n v="59.8"/>
    <n v="13.96"/>
    <x v="37"/>
  </r>
  <r>
    <d v="2026-09-12T15:47:56"/>
    <x v="4"/>
    <x v="4"/>
    <x v="0"/>
    <n v="228.4"/>
    <n v="88.1"/>
    <n v="20.13"/>
    <x v="18"/>
  </r>
  <r>
    <d v="2026-09-05T22:54:52"/>
    <x v="0"/>
    <x v="1"/>
    <x v="0"/>
    <n v="230.7"/>
    <n v="99.6"/>
    <n v="22.98"/>
    <x v="1"/>
  </r>
  <r>
    <d v="2026-09-02T00:28:57"/>
    <x v="0"/>
    <x v="0"/>
    <x v="0"/>
    <n v="234.7"/>
    <n v="42"/>
    <n v="9.86"/>
    <x v="6"/>
  </r>
  <r>
    <d v="2026-09-17T00:43:25"/>
    <x v="1"/>
    <x v="5"/>
    <x v="1"/>
    <n v="229.1"/>
    <n v="71.099999999999994"/>
    <n v="16.3"/>
    <x v="43"/>
  </r>
  <r>
    <d v="2026-09-14T06:16:17"/>
    <x v="2"/>
    <x v="1"/>
    <x v="0"/>
    <n v="228.9"/>
    <n v="125.9"/>
    <n v="28.81"/>
    <x v="21"/>
  </r>
  <r>
    <d v="2026-09-13T02:17:29"/>
    <x v="6"/>
    <x v="0"/>
    <x v="0"/>
    <n v="231.5"/>
    <n v="39.5"/>
    <n v="9.14"/>
    <x v="0"/>
  </r>
  <r>
    <d v="2026-09-26T15:33:28"/>
    <x v="2"/>
    <x v="1"/>
    <x v="0"/>
    <n v="230.5"/>
    <n v="126.4"/>
    <n v="29.14"/>
    <x v="53"/>
  </r>
  <r>
    <d v="2026-09-27T09:02:43"/>
    <x v="2"/>
    <x v="1"/>
    <x v="0"/>
    <n v="232.1"/>
    <n v="118.5"/>
    <n v="27.5"/>
    <x v="49"/>
  </r>
  <r>
    <d v="2026-09-13T23:16:35"/>
    <x v="4"/>
    <x v="1"/>
    <x v="0"/>
    <n v="234"/>
    <n v="105.8"/>
    <n v="24.76"/>
    <x v="14"/>
  </r>
  <r>
    <d v="2026-09-02T03:58:48"/>
    <x v="4"/>
    <x v="1"/>
    <x v="0"/>
    <n v="232.8"/>
    <n v="121.4"/>
    <n v="28.26"/>
    <x v="54"/>
  </r>
  <r>
    <d v="2026-09-02T21:28:02"/>
    <x v="5"/>
    <x v="5"/>
    <x v="1"/>
    <n v="230.4"/>
    <n v="62.8"/>
    <n v="14.47"/>
    <x v="34"/>
  </r>
  <r>
    <d v="2026-09-09T14:21:06"/>
    <x v="7"/>
    <x v="3"/>
    <x v="0"/>
    <n v="229.7"/>
    <n v="87.7"/>
    <n v="20.149999999999999"/>
    <x v="18"/>
  </r>
  <r>
    <d v="2026-09-25T22:04:13"/>
    <x v="7"/>
    <x v="1"/>
    <x v="0"/>
    <n v="230.5"/>
    <n v="126.4"/>
    <n v="29.14"/>
    <x v="53"/>
  </r>
  <r>
    <d v="2026-09-20T02:10:15"/>
    <x v="4"/>
    <x v="2"/>
    <x v="1"/>
    <n v="225.3"/>
    <n v="30.4"/>
    <n v="6.84"/>
    <x v="2"/>
  </r>
  <r>
    <d v="2026-09-03T11:27:26"/>
    <x v="7"/>
    <x v="2"/>
    <x v="1"/>
    <n v="224.6"/>
    <n v="24.3"/>
    <n v="5.46"/>
    <x v="41"/>
  </r>
  <r>
    <d v="2026-09-11T11:49:09"/>
    <x v="3"/>
    <x v="6"/>
    <x v="0"/>
    <n v="230.2"/>
    <n v="47.4"/>
    <n v="10.92"/>
    <x v="45"/>
  </r>
  <r>
    <d v="2026-09-26T12:03:37"/>
    <x v="0"/>
    <x v="0"/>
    <x v="0"/>
    <n v="228"/>
    <n v="39.4"/>
    <n v="8.98"/>
    <x v="0"/>
  </r>
  <r>
    <d v="2026-09-20T12:39:48"/>
    <x v="5"/>
    <x v="0"/>
    <x v="0"/>
    <n v="233.5"/>
    <n v="37.299999999999997"/>
    <n v="8.6999999999999993"/>
    <x v="35"/>
  </r>
  <r>
    <d v="2026-09-25T08:04:49"/>
    <x v="0"/>
    <x v="0"/>
    <x v="0"/>
    <n v="233.9"/>
    <n v="48.3"/>
    <n v="11.3"/>
    <x v="50"/>
  </r>
  <r>
    <d v="2026-09-27T16:02:25"/>
    <x v="0"/>
    <x v="3"/>
    <x v="0"/>
    <n v="234.7"/>
    <n v="74.099999999999994"/>
    <n v="17.38"/>
    <x v="28"/>
  </r>
  <r>
    <d v="2026-09-10T04:20:30"/>
    <x v="6"/>
    <x v="0"/>
    <x v="0"/>
    <n v="231.5"/>
    <n v="39.5"/>
    <n v="9.14"/>
    <x v="0"/>
  </r>
  <r>
    <d v="2026-09-08T20:51:52"/>
    <x v="3"/>
    <x v="6"/>
    <x v="0"/>
    <n v="231.8"/>
    <n v="45.5"/>
    <n v="10.55"/>
    <x v="31"/>
  </r>
  <r>
    <d v="2026-09-16T14:13:52"/>
    <x v="1"/>
    <x v="1"/>
    <x v="0"/>
    <n v="230.4"/>
    <n v="99.4"/>
    <n v="22.91"/>
    <x v="1"/>
  </r>
  <r>
    <d v="2026-09-08T06:52:28"/>
    <x v="7"/>
    <x v="6"/>
    <x v="0"/>
    <n v="230.2"/>
    <n v="47.4"/>
    <n v="10.92"/>
    <x v="45"/>
  </r>
  <r>
    <d v="2026-09-29T13:30:27"/>
    <x v="3"/>
    <x v="1"/>
    <x v="0"/>
    <n v="232.1"/>
    <n v="99.2"/>
    <n v="23.02"/>
    <x v="1"/>
  </r>
  <r>
    <d v="2026-09-09T10:51:15"/>
    <x v="3"/>
    <x v="2"/>
    <x v="1"/>
    <n v="227"/>
    <n v="24"/>
    <n v="5.45"/>
    <x v="41"/>
  </r>
  <r>
    <d v="2026-09-07T23:52:46"/>
    <x v="3"/>
    <x v="3"/>
    <x v="0"/>
    <n v="229.7"/>
    <n v="87.7"/>
    <n v="20.149999999999999"/>
    <x v="18"/>
  </r>
  <r>
    <d v="2026-09-13T19:46:44"/>
    <x v="7"/>
    <x v="5"/>
    <x v="1"/>
    <n v="229.1"/>
    <n v="69.2"/>
    <n v="15.85"/>
    <x v="26"/>
  </r>
  <r>
    <d v="2026-09-04T01:26:50"/>
    <x v="4"/>
    <x v="6"/>
    <x v="0"/>
    <n v="228.8"/>
    <n v="50.3"/>
    <n v="11.5"/>
    <x v="19"/>
  </r>
  <r>
    <d v="2026-09-09T07:21:24"/>
    <x v="0"/>
    <x v="1"/>
    <x v="0"/>
    <n v="234.3"/>
    <n v="88"/>
    <n v="20.63"/>
    <x v="15"/>
  </r>
  <r>
    <d v="2026-09-24T07:35:53"/>
    <x v="3"/>
    <x v="2"/>
    <x v="1"/>
    <n v="231.9"/>
    <n v="27.6"/>
    <n v="6.4"/>
    <x v="33"/>
  </r>
  <r>
    <d v="2026-09-28T23:31:03"/>
    <x v="4"/>
    <x v="1"/>
    <x v="0"/>
    <n v="228.2"/>
    <n v="102.5"/>
    <n v="23.39"/>
    <x v="36"/>
  </r>
  <r>
    <d v="2026-09-19T19:10:33"/>
    <x v="5"/>
    <x v="1"/>
    <x v="0"/>
    <n v="234"/>
    <n v="105.8"/>
    <n v="24.76"/>
    <x v="14"/>
  </r>
  <r>
    <d v="2026-09-06T09:24:25"/>
    <x v="1"/>
    <x v="1"/>
    <x v="0"/>
    <n v="231"/>
    <n v="106.9"/>
    <n v="24.7"/>
    <x v="14"/>
  </r>
  <r>
    <d v="2026-09-23T21:06:20"/>
    <x v="2"/>
    <x v="2"/>
    <x v="1"/>
    <n v="227.1"/>
    <n v="29.2"/>
    <n v="6.64"/>
    <x v="33"/>
  </r>
  <r>
    <d v="2026-09-29T03:00:54"/>
    <x v="2"/>
    <x v="3"/>
    <x v="0"/>
    <n v="236.2"/>
    <n v="84.1"/>
    <n v="19.86"/>
    <x v="3"/>
  </r>
  <r>
    <d v="2026-09-01T03:29:51"/>
    <x v="7"/>
    <x v="4"/>
    <x v="0"/>
    <n v="233.3"/>
    <n v="98.7"/>
    <n v="23.03"/>
    <x v="1"/>
  </r>
  <r>
    <d v="2026-09-08T13:52:10"/>
    <x v="3"/>
    <x v="3"/>
    <x v="0"/>
    <n v="234.7"/>
    <n v="74.099999999999994"/>
    <n v="17.38"/>
    <x v="28"/>
  </r>
  <r>
    <d v="2026-09-22T17:07:32"/>
    <x v="7"/>
    <x v="1"/>
    <x v="0"/>
    <n v="231"/>
    <n v="106.9"/>
    <n v="24.7"/>
    <x v="14"/>
  </r>
  <r>
    <d v="2026-09-19T22:40:24"/>
    <x v="3"/>
    <x v="1"/>
    <x v="0"/>
    <n v="233"/>
    <n v="106.5"/>
    <n v="24.81"/>
    <x v="14"/>
  </r>
  <r>
    <d v="2026-09-23T00:07:14"/>
    <x v="6"/>
    <x v="3"/>
    <x v="0"/>
    <n v="229.7"/>
    <n v="87.7"/>
    <n v="20.149999999999999"/>
    <x v="18"/>
  </r>
  <r>
    <d v="2026-09-16T00:14:28"/>
    <x v="1"/>
    <x v="3"/>
    <x v="0"/>
    <n v="231.4"/>
    <n v="83.8"/>
    <n v="19.39"/>
    <x v="40"/>
  </r>
  <r>
    <d v="2026-09-15T10:15:05"/>
    <x v="2"/>
    <x v="0"/>
    <x v="0"/>
    <n v="225.6"/>
    <n v="43"/>
    <n v="9.7100000000000009"/>
    <x v="6"/>
  </r>
  <r>
    <d v="2026-09-17T21:42:31"/>
    <x v="3"/>
    <x v="3"/>
    <x v="0"/>
    <n v="231.9"/>
    <n v="72"/>
    <n v="16.7"/>
    <x v="10"/>
  </r>
  <r>
    <d v="2026-09-13T16:16:53"/>
    <x v="1"/>
    <x v="1"/>
    <x v="0"/>
    <n v="234.3"/>
    <n v="88"/>
    <n v="20.63"/>
    <x v="15"/>
  </r>
  <r>
    <d v="2026-09-11T18:48:51"/>
    <x v="5"/>
    <x v="2"/>
    <x v="1"/>
    <n v="234"/>
    <n v="29.1"/>
    <n v="6.82"/>
    <x v="2"/>
  </r>
  <r>
    <d v="2026-09-18T15:11:46"/>
    <x v="5"/>
    <x v="1"/>
    <x v="0"/>
    <n v="231.8"/>
    <n v="93.7"/>
    <n v="21.73"/>
    <x v="13"/>
  </r>
  <r>
    <d v="2026-09-30T00:00:00"/>
    <x v="2"/>
    <x v="5"/>
    <x v="1"/>
    <n v="235.7"/>
    <n v="57.5"/>
    <n v="13.55"/>
    <x v="8"/>
  </r>
  <r>
    <d v="2026-09-03T21:56:59"/>
    <x v="2"/>
    <x v="1"/>
    <x v="0"/>
    <n v="232.5"/>
    <n v="108.6"/>
    <n v="25.24"/>
    <x v="46"/>
  </r>
  <r>
    <d v="2026-09-28T09:31:39"/>
    <x v="1"/>
    <x v="6"/>
    <x v="0"/>
    <n v="231.8"/>
    <n v="45.5"/>
    <n v="10.55"/>
    <x v="31"/>
  </r>
  <r>
    <d v="2026-09-11T08:19:18"/>
    <x v="3"/>
    <x v="2"/>
    <x v="1"/>
    <n v="227"/>
    <n v="24"/>
    <n v="5.45"/>
    <x v="41"/>
  </r>
  <r>
    <d v="2026-09-16T10:44:01"/>
    <x v="7"/>
    <x v="1"/>
    <x v="0"/>
    <n v="233.2"/>
    <n v="114.8"/>
    <n v="26.77"/>
    <x v="44"/>
  </r>
  <r>
    <d v="2026-09-03T00:57:53"/>
    <x v="3"/>
    <x v="1"/>
    <x v="0"/>
    <n v="233.9"/>
    <n v="118.4"/>
    <n v="27.69"/>
    <x v="48"/>
  </r>
  <r>
    <d v="2026-09-14T09:46:08"/>
    <x v="7"/>
    <x v="5"/>
    <x v="1"/>
    <n v="229.7"/>
    <n v="71"/>
    <n v="16.3"/>
    <x v="43"/>
  </r>
  <r>
    <d v="2026-09-27T02:03:01"/>
    <x v="6"/>
    <x v="2"/>
    <x v="1"/>
    <n v="237.3"/>
    <n v="31"/>
    <n v="7.35"/>
    <x v="7"/>
  </r>
  <r>
    <d v="2026-09-15T20:44:37"/>
    <x v="0"/>
    <x v="4"/>
    <x v="0"/>
    <n v="228.5"/>
    <n v="104.7"/>
    <n v="23.93"/>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ECCF1-2852-434C-8A7D-AA0F0B47FD1A}"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
    <pivotField numFmtId="164" showAll="0"/>
    <pivotField axis="axisRow" showAll="0">
      <items count="9">
        <item x="3"/>
        <item x="4"/>
        <item x="7"/>
        <item x="2"/>
        <item x="5"/>
        <item x="1"/>
        <item x="0"/>
        <item x="6"/>
        <item t="default"/>
      </items>
    </pivotField>
    <pivotField showAll="0"/>
    <pivotField showAll="0"/>
    <pivotField showAll="0"/>
    <pivotField showAll="0"/>
    <pivotField showAll="0"/>
    <pivotField dataField="1" showAll="0">
      <items count="57">
        <item x="41"/>
        <item x="27"/>
        <item x="52"/>
        <item x="33"/>
        <item x="2"/>
        <item x="7"/>
        <item x="22"/>
        <item x="9"/>
        <item x="35"/>
        <item x="0"/>
        <item x="6"/>
        <item x="38"/>
        <item x="31"/>
        <item x="45"/>
        <item x="50"/>
        <item x="19"/>
        <item x="30"/>
        <item x="20"/>
        <item x="42"/>
        <item x="8"/>
        <item x="37"/>
        <item x="34"/>
        <item x="24"/>
        <item x="51"/>
        <item x="26"/>
        <item x="43"/>
        <item x="10"/>
        <item x="55"/>
        <item x="28"/>
        <item x="32"/>
        <item x="17"/>
        <item x="47"/>
        <item x="25"/>
        <item x="39"/>
        <item x="40"/>
        <item x="3"/>
        <item x="18"/>
        <item x="15"/>
        <item x="23"/>
        <item x="4"/>
        <item x="13"/>
        <item x="5"/>
        <item x="11"/>
        <item x="1"/>
        <item x="36"/>
        <item x="16"/>
        <item x="12"/>
        <item x="14"/>
        <item x="46"/>
        <item x="44"/>
        <item x="29"/>
        <item x="49"/>
        <item x="48"/>
        <item x="54"/>
        <item x="21"/>
        <item x="53"/>
        <item t="default"/>
      </items>
    </pivotField>
  </pivotFields>
  <rowFields count="1">
    <field x="1"/>
  </rowFields>
  <rowItems count="9">
    <i>
      <x/>
    </i>
    <i>
      <x v="1"/>
    </i>
    <i>
      <x v="2"/>
    </i>
    <i>
      <x v="3"/>
    </i>
    <i>
      <x v="4"/>
    </i>
    <i>
      <x v="5"/>
    </i>
    <i>
      <x v="6"/>
    </i>
    <i>
      <x v="7"/>
    </i>
    <i t="grand">
      <x/>
    </i>
  </rowItems>
  <colItems count="1">
    <i/>
  </colItems>
  <dataFields count="1">
    <dataField name="Sum of Energy Consumption (kWh)"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71D36-7137-4915-B1C2-3CA1CAC2BCE8}"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8">
    <pivotField numFmtId="164" showAll="0"/>
    <pivotField axis="axisRow" showAll="0">
      <items count="9">
        <item x="3"/>
        <item x="4"/>
        <item x="7"/>
        <item x="2"/>
        <item x="5"/>
        <item x="1"/>
        <item x="0"/>
        <item x="6"/>
        <item t="default"/>
      </items>
    </pivotField>
    <pivotField showAll="0">
      <items count="8">
        <item x="1"/>
        <item x="3"/>
        <item x="4"/>
        <item x="0"/>
        <item x="6"/>
        <item x="2"/>
        <item x="5"/>
        <item t="default"/>
      </items>
    </pivotField>
    <pivotField showAll="0">
      <items count="3">
        <item x="0"/>
        <item x="1"/>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Average of Current (A)" fld="5"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C61536-D990-4067-9FEB-BBC621E0720C}"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 firstHeaderRow="1" firstDataRow="1" firstDataCol="1"/>
  <pivotFields count="8">
    <pivotField numFmtId="164" showAll="0"/>
    <pivotField axis="axisRow" showAll="0">
      <items count="9">
        <item x="3"/>
        <item x="4"/>
        <item x="7"/>
        <item x="2"/>
        <item x="5"/>
        <item x="1"/>
        <item x="0"/>
        <item x="6"/>
        <item t="default"/>
      </items>
    </pivotField>
    <pivotField showAll="0">
      <items count="8">
        <item x="1"/>
        <item x="3"/>
        <item x="4"/>
        <item x="0"/>
        <item x="6"/>
        <item x="2"/>
        <item x="5"/>
        <item t="default"/>
      </items>
    </pivotField>
    <pivotField showAll="0">
      <items count="3">
        <item x="0"/>
        <item x="1"/>
        <item t="default"/>
      </items>
    </pivotField>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Energy Consumption (kWh)"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CED73-3075-42CB-AC2F-552B0E7023F1}"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8">
    <pivotField numFmtId="164" showAll="0"/>
    <pivotField showAll="0">
      <items count="9">
        <item x="3"/>
        <item x="4"/>
        <item x="7"/>
        <item x="2"/>
        <item x="5"/>
        <item x="1"/>
        <item x="0"/>
        <item x="6"/>
        <item t="default"/>
      </items>
    </pivotField>
    <pivotField axis="axisRow" showAll="0">
      <items count="8">
        <item x="1"/>
        <item x="3"/>
        <item x="4"/>
        <item x="0"/>
        <item x="6"/>
        <item x="2"/>
        <item x="5"/>
        <item t="default"/>
      </items>
    </pivotField>
    <pivotField showAll="0">
      <items count="3">
        <item x="0"/>
        <item x="1"/>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Energy Consumption (kWh)"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A0743-4BB1-458E-8285-F81871B4D721}"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8">
    <pivotField numFmtId="164" showAll="0"/>
    <pivotField showAll="0">
      <items count="9">
        <item x="3"/>
        <item x="4"/>
        <item x="7"/>
        <item x="2"/>
        <item x="5"/>
        <item x="1"/>
        <item x="0"/>
        <item x="6"/>
        <item t="default"/>
      </items>
    </pivotField>
    <pivotField showAll="0">
      <items count="8">
        <item x="1"/>
        <item x="3"/>
        <item x="4"/>
        <item x="0"/>
        <item x="6"/>
        <item x="2"/>
        <item x="5"/>
        <item t="default"/>
      </items>
    </pivotField>
    <pivotField axis="axisRow" showAll="0">
      <items count="3">
        <item x="0"/>
        <item x="1"/>
        <item t="default"/>
      </items>
    </pivotField>
    <pivotField showAll="0"/>
    <pivotField showAll="0"/>
    <pivotField showAll="0"/>
    <pivotField dataField="1" showAll="0"/>
  </pivotFields>
  <rowFields count="1">
    <field x="3"/>
  </rowFields>
  <rowItems count="3">
    <i>
      <x/>
    </i>
    <i>
      <x v="1"/>
    </i>
    <i t="grand">
      <x/>
    </i>
  </rowItems>
  <colItems count="1">
    <i/>
  </colItems>
  <dataFields count="1">
    <dataField name="Sum of Energy Consumption (kWh)" fld="7" baseField="0" baseItem="0"/>
  </dataFields>
  <chartFormats count="4">
    <chartFormat chart="8"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3" count="1" selected="0">
            <x v="0"/>
          </reference>
        </references>
      </pivotArea>
    </chartFormat>
    <chartFormat chart="18"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09722E-D6C0-4949-84BA-BA3F1D0D6C9C}"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8">
    <pivotField numFmtId="164" showAll="0"/>
    <pivotField axis="axisRow" showAll="0">
      <items count="9">
        <item x="3"/>
        <item x="4"/>
        <item x="7"/>
        <item x="2"/>
        <item x="5"/>
        <item x="1"/>
        <item x="0"/>
        <item x="6"/>
        <item t="default"/>
      </items>
    </pivotField>
    <pivotField showAll="0">
      <items count="8">
        <item x="1"/>
        <item x="3"/>
        <item x="4"/>
        <item x="0"/>
        <item x="6"/>
        <item x="2"/>
        <item x="5"/>
        <item t="default"/>
      </items>
    </pivotField>
    <pivotField showAll="0">
      <items count="3">
        <item x="0"/>
        <item x="1"/>
        <item t="default"/>
      </items>
    </pivotField>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Voltage (V)" fld="4"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E30C84-7534-4E2F-8A4C-E915B1068D99}"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8">
    <pivotField numFmtId="164" showAll="0"/>
    <pivotField axis="axisRow" showAll="0">
      <items count="9">
        <item x="3"/>
        <item x="4"/>
        <item x="7"/>
        <item x="2"/>
        <item x="5"/>
        <item x="1"/>
        <item x="0"/>
        <item x="6"/>
        <item t="default"/>
      </items>
    </pivotField>
    <pivotField showAll="0">
      <items count="8">
        <item x="1"/>
        <item x="3"/>
        <item x="4"/>
        <item x="0"/>
        <item x="6"/>
        <item x="2"/>
        <item x="5"/>
        <item t="default"/>
      </items>
    </pivotField>
    <pivotField showAll="0">
      <items count="3">
        <item x="0"/>
        <item x="1"/>
        <item t="default"/>
      </items>
    </pivotField>
    <pivotField showAll="0"/>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Power Load (kW)"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Source1" xr10:uid="{F2B52048-5012-4BE4-A570-885CADFA4191}" sourceName="Energy Source">
  <pivotTables>
    <pivotTable tabId="11" name="PivotTable2"/>
    <pivotTable tabId="14" name="PivotTable1"/>
    <pivotTable tabId="8" name="PivotTable3"/>
    <pivotTable tabId="10" name="PivotTable1"/>
    <pivotTable tabId="12" name="PivotTable4"/>
    <pivotTable tabId="13" name="PivotTable5"/>
  </pivotTables>
  <data>
    <tabular pivotCacheId="5093929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_Type1" xr10:uid="{31E6FA5A-518A-4BD1-9900-0D52578BBB6A}" sourceName="Building Type">
  <pivotTables>
    <pivotTable tabId="10" name="PivotTable1"/>
    <pivotTable tabId="14" name="PivotTable1"/>
    <pivotTable tabId="8" name="PivotTable3"/>
    <pivotTable tabId="11" name="PivotTable2"/>
    <pivotTable tabId="12" name="PivotTable4"/>
    <pivotTable tabId="13" name="PivotTable5"/>
  </pivotTables>
  <data>
    <tabular pivotCacheId="509392981">
      <items count="7">
        <i x="1" s="1"/>
        <i x="3" s="1"/>
        <i x="4" s="1"/>
        <i x="0" s="1"/>
        <i x="6"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CA1356EF-DA16-4F76-BD57-4CD3E117910B}" sourceName="Location">
  <pivotTables>
    <pivotTable tabId="13" name="PivotTable5"/>
    <pivotTable tabId="14" name="PivotTable1"/>
    <pivotTable tabId="8" name="PivotTable3"/>
    <pivotTable tabId="10" name="PivotTable1"/>
    <pivotTable tabId="11" name="PivotTable2"/>
    <pivotTable tabId="12" name="PivotTable4"/>
  </pivotTables>
  <data>
    <tabular pivotCacheId="509392981">
      <items count="8">
        <i x="3" s="1"/>
        <i x="4" s="1"/>
        <i x="7" s="1"/>
        <i x="2" s="1"/>
        <i x="5"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ergy Source 1" xr10:uid="{8ADFE402-DBE9-4B55-A099-5032F0FDD3BA}" cache="Slicer_Energy_Source1" caption="Energy Source" style="SlicerStyleDark4 2" rowHeight="241300"/>
  <slicer name="Building Type 1" xr10:uid="{E05F07C7-C867-4F4F-B1E6-635BDA9309C7}" cache="Slicer_Building_Type1" caption="Building Type" style="SlicerStyleDark4 2" rowHeight="241300"/>
  <slicer name="Location 1" xr10:uid="{CE6E2A94-E6C9-41B5-860F-8675C0D7B681}" cache="Slicer_Location1" caption="Location" style="SlicerStyleDark4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767905-1710-4BFC-BAA1-C1EBC218B47A}" name="Table1" displayName="Table1" ref="A1:H201" totalsRowShown="0" headerRowDxfId="11" dataDxfId="10">
  <autoFilter ref="A1:H201" xr:uid="{64767905-1710-4BFC-BAA1-C1EBC218B47A}"/>
  <tableColumns count="8">
    <tableColumn id="2" xr3:uid="{3C26DD7C-F714-4C6C-BB31-30C49C6F3DED}" name="Timestamp" dataDxfId="9"/>
    <tableColumn id="5" xr3:uid="{028EF5A7-6B2E-426D-9540-5DC9189BA255}" name="Location" dataDxfId="8"/>
    <tableColumn id="6" xr3:uid="{B231AE00-A154-453D-916D-990E97F38E01}" name="Building Type" dataDxfId="7"/>
    <tableColumn id="7" xr3:uid="{E3B98AFE-B672-42F6-8CEE-7D623EECCD23}" name="Energy Source" dataDxfId="6"/>
    <tableColumn id="8" xr3:uid="{93D3C87D-BDC4-49AD-9C2A-59F5F51AAD01}" name="Voltage (V)" dataDxfId="5"/>
    <tableColumn id="9" xr3:uid="{E3380B0B-2FA1-4055-B2C8-6ADB7BFCDB7A}" name="Current (A)" dataDxfId="4"/>
    <tableColumn id="10" xr3:uid="{8AFD65DB-29FC-4820-B4C6-43BAC6389D0A}" name="Power Load (kW)" dataDxfId="3"/>
    <tableColumn id="11" xr3:uid="{B88CFAF6-222C-4D31-BC72-196C96F245D4}" name="Energy Consumption (kWh)"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D233-99E5-449C-9164-A508AC37D5D1}">
  <dimension ref="A3:B12"/>
  <sheetViews>
    <sheetView workbookViewId="0">
      <selection activeCell="A9" sqref="B9"/>
    </sheetView>
  </sheetViews>
  <sheetFormatPr defaultRowHeight="14.5" x14ac:dyDescent="0.35"/>
  <cols>
    <col min="1" max="1" width="23.1796875" bestFit="1" customWidth="1"/>
    <col min="2" max="2" width="30.54296875" bestFit="1" customWidth="1"/>
    <col min="3" max="16" width="31.54296875" bestFit="1" customWidth="1"/>
    <col min="17" max="17" width="35.36328125" bestFit="1" customWidth="1"/>
    <col min="18" max="18" width="36.36328125" bestFit="1" customWidth="1"/>
    <col min="19" max="22" width="5.81640625" bestFit="1" customWidth="1"/>
    <col min="23" max="23" width="4.81640625" bestFit="1" customWidth="1"/>
    <col min="24" max="31" width="5.81640625" bestFit="1" customWidth="1"/>
    <col min="32" max="32" width="4.81640625" bestFit="1" customWidth="1"/>
    <col min="33" max="41" width="5.81640625" bestFit="1" customWidth="1"/>
    <col min="42" max="42" width="4.81640625" bestFit="1" customWidth="1"/>
    <col min="43" max="49" width="5.81640625" bestFit="1" customWidth="1"/>
    <col min="50" max="50" width="4.81640625" bestFit="1" customWidth="1"/>
    <col min="51" max="55" width="5.81640625" bestFit="1" customWidth="1"/>
    <col min="56" max="56" width="4.81640625" bestFit="1" customWidth="1"/>
    <col min="57" max="57" width="5.81640625" bestFit="1" customWidth="1"/>
    <col min="58" max="58" width="10.7265625" bestFit="1" customWidth="1"/>
  </cols>
  <sheetData>
    <row r="3" spans="1:2" x14ac:dyDescent="0.35">
      <c r="A3" s="1" t="s">
        <v>27</v>
      </c>
      <c r="B3" t="s">
        <v>0</v>
      </c>
    </row>
    <row r="4" spans="1:2" x14ac:dyDescent="0.35">
      <c r="A4" s="2" t="s">
        <v>20</v>
      </c>
      <c r="B4" s="10">
        <v>1.3530000000000002</v>
      </c>
    </row>
    <row r="5" spans="1:2" x14ac:dyDescent="0.35">
      <c r="A5" s="2" t="s">
        <v>21</v>
      </c>
      <c r="B5" s="10">
        <v>0.93600000000000017</v>
      </c>
    </row>
    <row r="6" spans="1:2" x14ac:dyDescent="0.35">
      <c r="A6" s="2" t="s">
        <v>26</v>
      </c>
      <c r="B6" s="10">
        <v>1.1260000000000001</v>
      </c>
    </row>
    <row r="7" spans="1:2" x14ac:dyDescent="0.35">
      <c r="A7" s="2" t="s">
        <v>18</v>
      </c>
      <c r="B7" s="10">
        <v>1.0390000000000001</v>
      </c>
    </row>
    <row r="8" spans="1:2" x14ac:dyDescent="0.35">
      <c r="A8" s="2" t="s">
        <v>23</v>
      </c>
      <c r="B8" s="10">
        <v>1.3370000000000002</v>
      </c>
    </row>
    <row r="9" spans="1:2" x14ac:dyDescent="0.35">
      <c r="A9" s="2" t="s">
        <v>14</v>
      </c>
      <c r="B9" s="10">
        <v>0.89900000000000024</v>
      </c>
    </row>
    <row r="10" spans="1:2" x14ac:dyDescent="0.35">
      <c r="A10" s="2" t="s">
        <v>10</v>
      </c>
      <c r="B10" s="10">
        <v>1.385</v>
      </c>
    </row>
    <row r="11" spans="1:2" x14ac:dyDescent="0.35">
      <c r="A11" s="2" t="s">
        <v>24</v>
      </c>
      <c r="B11" s="10">
        <v>1.1200000000000001</v>
      </c>
    </row>
    <row r="12" spans="1:2" x14ac:dyDescent="0.35">
      <c r="A12" s="2" t="s">
        <v>28</v>
      </c>
      <c r="B12" s="10">
        <v>9.1950000000000003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9C5E-1379-49C7-B700-01102973B524}">
  <dimension ref="A1:H203"/>
  <sheetViews>
    <sheetView topLeftCell="B1" workbookViewId="0">
      <pane ySplit="1" topLeftCell="A187" activePane="bottomLeft" state="frozen"/>
      <selection activeCell="B1" sqref="B1"/>
      <selection pane="bottomLeft" activeCell="F204" sqref="F204"/>
    </sheetView>
  </sheetViews>
  <sheetFormatPr defaultRowHeight="15.5" x14ac:dyDescent="0.35"/>
  <cols>
    <col min="1" max="1" width="21.6328125" style="4" customWidth="1"/>
    <col min="2" max="2" width="26.36328125" style="4" customWidth="1"/>
    <col min="3" max="3" width="17.7265625" style="4" customWidth="1"/>
    <col min="4" max="4" width="19.1796875" style="4" customWidth="1"/>
    <col min="5" max="5" width="15.7265625" style="4" customWidth="1"/>
    <col min="6" max="6" width="16.08984375" style="4" customWidth="1"/>
    <col min="7" max="7" width="20.7265625" style="4" customWidth="1"/>
    <col min="8" max="8" width="30.90625" style="4" customWidth="1"/>
    <col min="9" max="9" width="17.7265625" style="4" customWidth="1"/>
    <col min="10" max="16384" width="8.7265625" style="4"/>
  </cols>
  <sheetData>
    <row r="1" spans="1:8" x14ac:dyDescent="0.35">
      <c r="A1" s="4" t="s">
        <v>2</v>
      </c>
      <c r="B1" s="4" t="s">
        <v>3</v>
      </c>
      <c r="C1" s="4" t="s">
        <v>4</v>
      </c>
      <c r="D1" s="4" t="s">
        <v>5</v>
      </c>
      <c r="E1" s="4" t="s">
        <v>6</v>
      </c>
      <c r="F1" s="4" t="s">
        <v>7</v>
      </c>
      <c r="G1" s="4" t="s">
        <v>8</v>
      </c>
      <c r="H1" s="4" t="s">
        <v>9</v>
      </c>
    </row>
    <row r="2" spans="1:8" x14ac:dyDescent="0.35">
      <c r="A2" s="5">
        <v>46279.844224537039</v>
      </c>
      <c r="B2" s="3" t="s">
        <v>10</v>
      </c>
      <c r="C2" s="4" t="s">
        <v>11</v>
      </c>
      <c r="D2" s="4" t="s">
        <v>12</v>
      </c>
      <c r="E2" s="4">
        <v>229.3</v>
      </c>
      <c r="F2" s="4">
        <v>39.799999999999997</v>
      </c>
      <c r="G2" s="4">
        <v>9.1199999999999992</v>
      </c>
      <c r="H2" s="4">
        <v>2.5000000000000001E-2</v>
      </c>
    </row>
    <row r="3" spans="1:8" x14ac:dyDescent="0.35">
      <c r="A3" s="6">
        <v>46268.185925925929</v>
      </c>
      <c r="B3" s="3" t="s">
        <v>10</v>
      </c>
      <c r="C3" s="4" t="s">
        <v>13</v>
      </c>
      <c r="D3" s="4" t="s">
        <v>12</v>
      </c>
      <c r="E3" s="4">
        <v>230.4</v>
      </c>
      <c r="F3" s="4">
        <v>99.4</v>
      </c>
      <c r="G3" s="4">
        <v>22.91</v>
      </c>
      <c r="H3" s="4">
        <v>6.4000000000000001E-2</v>
      </c>
    </row>
    <row r="4" spans="1:8" x14ac:dyDescent="0.35">
      <c r="A4" s="5">
        <v>46270.371863425928</v>
      </c>
      <c r="B4" s="3" t="s">
        <v>14</v>
      </c>
      <c r="C4" s="4" t="s">
        <v>15</v>
      </c>
      <c r="D4" s="4" t="s">
        <v>16</v>
      </c>
      <c r="E4" s="4">
        <v>231.6</v>
      </c>
      <c r="F4" s="4">
        <v>30.1</v>
      </c>
      <c r="G4" s="4">
        <v>6.98</v>
      </c>
      <c r="H4" s="4">
        <v>1.9E-2</v>
      </c>
    </row>
    <row r="5" spans="1:8" x14ac:dyDescent="0.35">
      <c r="A5" s="6">
        <v>46289.025127314817</v>
      </c>
      <c r="B5" s="3" t="s">
        <v>10</v>
      </c>
      <c r="C5" s="4" t="s">
        <v>17</v>
      </c>
      <c r="D5" s="4" t="s">
        <v>12</v>
      </c>
      <c r="E5" s="4">
        <v>231.4</v>
      </c>
      <c r="F5" s="4">
        <v>84.9</v>
      </c>
      <c r="G5" s="4">
        <v>19.649999999999999</v>
      </c>
      <c r="H5" s="4">
        <v>5.5E-2</v>
      </c>
    </row>
    <row r="6" spans="1:8" x14ac:dyDescent="0.35">
      <c r="A6" s="5">
        <v>46284.653263888889</v>
      </c>
      <c r="B6" s="3" t="s">
        <v>18</v>
      </c>
      <c r="C6" s="4" t="s">
        <v>17</v>
      </c>
      <c r="D6" s="4" t="s">
        <v>12</v>
      </c>
      <c r="E6" s="4">
        <v>228.3</v>
      </c>
      <c r="F6" s="4">
        <v>92.9</v>
      </c>
      <c r="G6" s="4">
        <v>21.22</v>
      </c>
      <c r="H6" s="4">
        <v>5.8999999999999997E-2</v>
      </c>
    </row>
    <row r="7" spans="1:8" x14ac:dyDescent="0.35">
      <c r="A7" s="6">
        <v>46282.758796296293</v>
      </c>
      <c r="B7" s="3" t="s">
        <v>10</v>
      </c>
      <c r="C7" s="4" t="s">
        <v>19</v>
      </c>
      <c r="D7" s="4" t="s">
        <v>12</v>
      </c>
      <c r="E7" s="4">
        <v>231.2</v>
      </c>
      <c r="F7" s="4">
        <v>95.8</v>
      </c>
      <c r="G7" s="4">
        <v>22.14</v>
      </c>
      <c r="H7" s="4">
        <v>6.2E-2</v>
      </c>
    </row>
    <row r="8" spans="1:8" x14ac:dyDescent="0.35">
      <c r="A8" s="5">
        <v>46276.055277777778</v>
      </c>
      <c r="B8" s="3" t="s">
        <v>20</v>
      </c>
      <c r="C8" s="4" t="s">
        <v>11</v>
      </c>
      <c r="D8" s="4" t="s">
        <v>12</v>
      </c>
      <c r="E8" s="4">
        <v>231.6</v>
      </c>
      <c r="F8" s="4">
        <v>41.3</v>
      </c>
      <c r="G8" s="4">
        <v>9.57</v>
      </c>
      <c r="H8" s="4">
        <v>2.7E-2</v>
      </c>
    </row>
    <row r="9" spans="1:8" x14ac:dyDescent="0.35">
      <c r="A9" s="6">
        <v>46290.773865740739</v>
      </c>
      <c r="B9" s="3" t="s">
        <v>21</v>
      </c>
      <c r="C9" s="4" t="s">
        <v>15</v>
      </c>
      <c r="D9" s="4" t="s">
        <v>16</v>
      </c>
      <c r="E9" s="4">
        <v>237.3</v>
      </c>
      <c r="F9" s="4">
        <v>31</v>
      </c>
      <c r="G9" s="4">
        <v>7.35</v>
      </c>
      <c r="H9" s="4">
        <v>0.02</v>
      </c>
    </row>
    <row r="10" spans="1:8" x14ac:dyDescent="0.35">
      <c r="A10" s="5">
        <v>46291.356782407413</v>
      </c>
      <c r="B10" s="3" t="s">
        <v>18</v>
      </c>
      <c r="C10" s="4" t="s">
        <v>22</v>
      </c>
      <c r="D10" s="4" t="s">
        <v>16</v>
      </c>
      <c r="E10" s="4">
        <v>235.7</v>
      </c>
      <c r="F10" s="4">
        <v>57.5</v>
      </c>
      <c r="G10" s="4">
        <v>13.55</v>
      </c>
      <c r="H10" s="4">
        <v>3.7999999999999999E-2</v>
      </c>
    </row>
    <row r="11" spans="1:8" x14ac:dyDescent="0.35">
      <c r="A11" s="6">
        <v>46272.557789351849</v>
      </c>
      <c r="B11" s="3" t="s">
        <v>23</v>
      </c>
      <c r="C11" s="4" t="s">
        <v>11</v>
      </c>
      <c r="D11" s="4" t="s">
        <v>12</v>
      </c>
      <c r="E11" s="4">
        <v>228.9</v>
      </c>
      <c r="F11" s="4">
        <v>35.799999999999997</v>
      </c>
      <c r="G11" s="4">
        <v>8.1999999999999993</v>
      </c>
      <c r="H11" s="4">
        <v>2.3E-2</v>
      </c>
    </row>
    <row r="12" spans="1:8" x14ac:dyDescent="0.35">
      <c r="A12" s="5">
        <v>46275.618090277778</v>
      </c>
      <c r="B12" s="3" t="s">
        <v>20</v>
      </c>
      <c r="C12" s="4" t="s">
        <v>17</v>
      </c>
      <c r="D12" s="4" t="s">
        <v>12</v>
      </c>
      <c r="E12" s="4">
        <v>230.3</v>
      </c>
      <c r="F12" s="4">
        <v>71.3</v>
      </c>
      <c r="G12" s="4">
        <v>16.41</v>
      </c>
      <c r="H12" s="4">
        <v>4.5999999999999999E-2</v>
      </c>
    </row>
    <row r="13" spans="1:8" x14ac:dyDescent="0.35">
      <c r="A13" s="6">
        <v>46292.522615740738</v>
      </c>
      <c r="B13" s="3" t="s">
        <v>21</v>
      </c>
      <c r="C13" s="4" t="s">
        <v>19</v>
      </c>
      <c r="D13" s="4" t="s">
        <v>12</v>
      </c>
      <c r="E13" s="4">
        <v>227.3</v>
      </c>
      <c r="F13" s="4">
        <v>99.3</v>
      </c>
      <c r="G13" s="4">
        <v>22.57</v>
      </c>
      <c r="H13" s="4">
        <v>6.3E-2</v>
      </c>
    </row>
    <row r="14" spans="1:8" x14ac:dyDescent="0.35">
      <c r="A14" s="5">
        <v>46290.045231481483</v>
      </c>
      <c r="B14" s="3" t="s">
        <v>23</v>
      </c>
      <c r="C14" s="4" t="s">
        <v>13</v>
      </c>
      <c r="D14" s="4" t="s">
        <v>12</v>
      </c>
      <c r="E14" s="4">
        <v>229.5</v>
      </c>
      <c r="F14" s="4">
        <v>106.4</v>
      </c>
      <c r="G14" s="4">
        <v>24.41</v>
      </c>
      <c r="H14" s="4">
        <v>6.8000000000000005E-2</v>
      </c>
    </row>
    <row r="15" spans="1:8" x14ac:dyDescent="0.35">
      <c r="A15" s="6">
        <v>46277.366828703707</v>
      </c>
      <c r="B15" s="3" t="s">
        <v>24</v>
      </c>
      <c r="C15" s="4" t="s">
        <v>13</v>
      </c>
      <c r="D15" s="4" t="s">
        <v>12</v>
      </c>
      <c r="E15" s="4">
        <v>231.8</v>
      </c>
      <c r="F15" s="4">
        <v>93.7</v>
      </c>
      <c r="G15" s="4">
        <v>21.73</v>
      </c>
      <c r="H15" s="4">
        <v>0.06</v>
      </c>
    </row>
    <row r="16" spans="1:8" x14ac:dyDescent="0.35">
      <c r="A16" s="5">
        <v>46293.105532407397</v>
      </c>
      <c r="B16" s="3" t="s">
        <v>24</v>
      </c>
      <c r="C16" s="4" t="s">
        <v>13</v>
      </c>
      <c r="D16" s="4" t="s">
        <v>12</v>
      </c>
      <c r="E16" s="4">
        <v>234</v>
      </c>
      <c r="F16" s="4">
        <v>105.8</v>
      </c>
      <c r="G16" s="4">
        <v>24.76</v>
      </c>
      <c r="H16" s="4">
        <v>6.9000000000000006E-2</v>
      </c>
    </row>
    <row r="17" spans="1:8" x14ac:dyDescent="0.35">
      <c r="A17" s="6">
        <v>46291.793969907398</v>
      </c>
      <c r="B17" s="3" t="s">
        <v>10</v>
      </c>
      <c r="C17" s="4" t="s">
        <v>13</v>
      </c>
      <c r="D17" s="4" t="s">
        <v>12</v>
      </c>
      <c r="E17" s="4">
        <v>229.2</v>
      </c>
      <c r="F17" s="4">
        <v>94.5</v>
      </c>
      <c r="G17" s="4">
        <v>21.65</v>
      </c>
      <c r="H17" s="4">
        <v>0.06</v>
      </c>
    </row>
    <row r="18" spans="1:8" x14ac:dyDescent="0.35">
      <c r="A18" s="5">
        <v>46274.160798611112</v>
      </c>
      <c r="B18" s="3" t="s">
        <v>23</v>
      </c>
      <c r="C18" s="4" t="s">
        <v>17</v>
      </c>
      <c r="D18" s="4" t="s">
        <v>12</v>
      </c>
      <c r="E18" s="4">
        <v>229.4</v>
      </c>
      <c r="F18" s="4">
        <v>89.8</v>
      </c>
      <c r="G18" s="4">
        <v>20.61</v>
      </c>
      <c r="H18" s="4">
        <v>5.7000000000000002E-2</v>
      </c>
    </row>
    <row r="19" spans="1:8" x14ac:dyDescent="0.35">
      <c r="A19" s="6">
        <v>46288.150752314818</v>
      </c>
      <c r="B19" s="3" t="s">
        <v>20</v>
      </c>
      <c r="C19" s="4" t="s">
        <v>11</v>
      </c>
      <c r="D19" s="4" t="s">
        <v>12</v>
      </c>
      <c r="E19" s="4">
        <v>225.6</v>
      </c>
      <c r="F19" s="4">
        <v>43</v>
      </c>
      <c r="G19" s="4">
        <v>9.7100000000000009</v>
      </c>
      <c r="H19" s="4">
        <v>2.7E-2</v>
      </c>
    </row>
    <row r="20" spans="1:8" x14ac:dyDescent="0.35">
      <c r="A20" s="5">
        <v>46277.949745370373</v>
      </c>
      <c r="B20" s="3" t="s">
        <v>23</v>
      </c>
      <c r="C20" s="4" t="s">
        <v>13</v>
      </c>
      <c r="D20" s="4" t="s">
        <v>12</v>
      </c>
      <c r="E20" s="4">
        <v>230.6</v>
      </c>
      <c r="F20" s="4">
        <v>102.7</v>
      </c>
      <c r="G20" s="4">
        <v>23.69</v>
      </c>
      <c r="H20" s="4">
        <v>6.6000000000000003E-2</v>
      </c>
    </row>
    <row r="21" spans="1:8" x14ac:dyDescent="0.35">
      <c r="A21" s="6">
        <v>46275.909548611111</v>
      </c>
      <c r="B21" s="3" t="s">
        <v>24</v>
      </c>
      <c r="C21" s="4" t="s">
        <v>17</v>
      </c>
      <c r="D21" s="4" t="s">
        <v>12</v>
      </c>
      <c r="E21" s="4">
        <v>228.3</v>
      </c>
      <c r="F21" s="4">
        <v>78.3</v>
      </c>
      <c r="G21" s="4">
        <v>17.87</v>
      </c>
      <c r="H21" s="4">
        <v>0.05</v>
      </c>
    </row>
    <row r="22" spans="1:8" x14ac:dyDescent="0.35">
      <c r="A22" s="5">
        <v>46284.070347222223</v>
      </c>
      <c r="B22" s="3" t="s">
        <v>20</v>
      </c>
      <c r="C22" s="4" t="s">
        <v>17</v>
      </c>
      <c r="D22" s="4" t="s">
        <v>12</v>
      </c>
      <c r="E22" s="4">
        <v>229.7</v>
      </c>
      <c r="F22" s="4">
        <v>87.7</v>
      </c>
      <c r="G22" s="4">
        <v>20.149999999999999</v>
      </c>
      <c r="H22" s="4">
        <v>5.6000000000000001E-2</v>
      </c>
    </row>
    <row r="23" spans="1:8" x14ac:dyDescent="0.35">
      <c r="A23" s="6">
        <v>46268.331655092603</v>
      </c>
      <c r="B23" s="3" t="s">
        <v>10</v>
      </c>
      <c r="C23" s="4" t="s">
        <v>25</v>
      </c>
      <c r="D23" s="4" t="s">
        <v>12</v>
      </c>
      <c r="E23" s="4">
        <v>228.8</v>
      </c>
      <c r="F23" s="4">
        <v>50.3</v>
      </c>
      <c r="G23" s="4">
        <v>11.5</v>
      </c>
      <c r="H23" s="4">
        <v>3.2000000000000001E-2</v>
      </c>
    </row>
    <row r="24" spans="1:8" x14ac:dyDescent="0.35">
      <c r="A24" s="5">
        <v>46287.567835648151</v>
      </c>
      <c r="B24" s="3" t="s">
        <v>18</v>
      </c>
      <c r="C24" s="4" t="s">
        <v>22</v>
      </c>
      <c r="D24" s="4" t="s">
        <v>16</v>
      </c>
      <c r="E24" s="4">
        <v>230.8</v>
      </c>
      <c r="F24" s="4">
        <v>56.8</v>
      </c>
      <c r="G24" s="4">
        <v>13.11</v>
      </c>
      <c r="H24" s="4">
        <v>3.5999999999999997E-2</v>
      </c>
    </row>
    <row r="25" spans="1:8" x14ac:dyDescent="0.35">
      <c r="A25" s="6">
        <v>46279.552766203713</v>
      </c>
      <c r="B25" s="3" t="s">
        <v>23</v>
      </c>
      <c r="C25" s="4" t="s">
        <v>19</v>
      </c>
      <c r="D25" s="4" t="s">
        <v>12</v>
      </c>
      <c r="E25" s="4">
        <v>226.6</v>
      </c>
      <c r="F25" s="4">
        <v>79.599999999999994</v>
      </c>
      <c r="G25" s="4">
        <v>18.03</v>
      </c>
      <c r="H25" s="4">
        <v>0.05</v>
      </c>
    </row>
    <row r="26" spans="1:8" x14ac:dyDescent="0.35">
      <c r="A26" s="5">
        <v>46275.472361111111</v>
      </c>
      <c r="B26" s="3" t="s">
        <v>24</v>
      </c>
      <c r="C26" s="4" t="s">
        <v>13</v>
      </c>
      <c r="D26" s="4" t="s">
        <v>12</v>
      </c>
      <c r="E26" s="4">
        <v>227.3</v>
      </c>
      <c r="F26" s="4">
        <v>127</v>
      </c>
      <c r="G26" s="4">
        <v>28.87</v>
      </c>
      <c r="H26" s="4">
        <v>0.08</v>
      </c>
    </row>
    <row r="27" spans="1:8" x14ac:dyDescent="0.35">
      <c r="A27" s="6">
        <v>46274.743715277778</v>
      </c>
      <c r="B27" s="3" t="s">
        <v>24</v>
      </c>
      <c r="C27" s="4" t="s">
        <v>15</v>
      </c>
      <c r="D27" s="4" t="s">
        <v>16</v>
      </c>
      <c r="E27" s="4">
        <v>236.3</v>
      </c>
      <c r="F27" s="4">
        <v>32</v>
      </c>
      <c r="G27" s="4">
        <v>7.57</v>
      </c>
      <c r="H27" s="4">
        <v>2.1000000000000001E-2</v>
      </c>
    </row>
    <row r="28" spans="1:8" x14ac:dyDescent="0.35">
      <c r="A28" s="5">
        <v>46278.241203703707</v>
      </c>
      <c r="B28" s="3" t="s">
        <v>23</v>
      </c>
      <c r="C28" s="4" t="s">
        <v>25</v>
      </c>
      <c r="D28" s="4" t="s">
        <v>12</v>
      </c>
      <c r="E28" s="4">
        <v>227.8</v>
      </c>
      <c r="F28" s="4">
        <v>56.9</v>
      </c>
      <c r="G28" s="4">
        <v>12.97</v>
      </c>
      <c r="H28" s="4">
        <v>3.5999999999999997E-2</v>
      </c>
    </row>
    <row r="29" spans="1:8" x14ac:dyDescent="0.35">
      <c r="A29" s="6">
        <v>46275.763819444437</v>
      </c>
      <c r="B29" s="3" t="s">
        <v>18</v>
      </c>
      <c r="C29" s="4" t="s">
        <v>13</v>
      </c>
      <c r="D29" s="4" t="s">
        <v>12</v>
      </c>
      <c r="E29" s="4">
        <v>228.3</v>
      </c>
      <c r="F29" s="4">
        <v>99.3</v>
      </c>
      <c r="G29" s="4">
        <v>22.66</v>
      </c>
      <c r="H29" s="4">
        <v>6.3E-2</v>
      </c>
    </row>
    <row r="30" spans="1:8" x14ac:dyDescent="0.35">
      <c r="A30" s="5">
        <v>46284.21607638889</v>
      </c>
      <c r="B30" s="3" t="s">
        <v>14</v>
      </c>
      <c r="C30" s="4" t="s">
        <v>17</v>
      </c>
      <c r="D30" s="4" t="s">
        <v>12</v>
      </c>
      <c r="E30" s="4">
        <v>235.6</v>
      </c>
      <c r="F30" s="4">
        <v>95.5</v>
      </c>
      <c r="G30" s="4">
        <v>22.5</v>
      </c>
      <c r="H30" s="4">
        <v>6.2E-2</v>
      </c>
    </row>
    <row r="31" spans="1:8" x14ac:dyDescent="0.35">
      <c r="A31" s="6">
        <v>46285.236180555563</v>
      </c>
      <c r="B31" s="3" t="s">
        <v>10</v>
      </c>
      <c r="C31" s="4" t="s">
        <v>17</v>
      </c>
      <c r="D31" s="4" t="s">
        <v>12</v>
      </c>
      <c r="E31" s="4">
        <v>238.3</v>
      </c>
      <c r="F31" s="4">
        <v>88.9</v>
      </c>
      <c r="G31" s="4">
        <v>21.18</v>
      </c>
      <c r="H31" s="4">
        <v>5.8999999999999997E-2</v>
      </c>
    </row>
    <row r="32" spans="1:8" x14ac:dyDescent="0.35">
      <c r="A32" s="5">
        <v>46267.311562499999</v>
      </c>
      <c r="B32" s="3" t="s">
        <v>26</v>
      </c>
      <c r="C32" s="4" t="s">
        <v>17</v>
      </c>
      <c r="D32" s="4" t="s">
        <v>12</v>
      </c>
      <c r="E32" s="4">
        <v>228.1</v>
      </c>
      <c r="F32" s="4">
        <v>91</v>
      </c>
      <c r="G32" s="4">
        <v>20.75</v>
      </c>
      <c r="H32" s="4">
        <v>5.8000000000000003E-2</v>
      </c>
    </row>
    <row r="33" spans="1:8" x14ac:dyDescent="0.35">
      <c r="A33" s="6">
        <v>46268.623113425929</v>
      </c>
      <c r="B33" s="3" t="s">
        <v>18</v>
      </c>
      <c r="C33" s="4" t="s">
        <v>22</v>
      </c>
      <c r="D33" s="4" t="s">
        <v>16</v>
      </c>
      <c r="E33" s="4">
        <v>230.1</v>
      </c>
      <c r="F33" s="4">
        <v>65.7</v>
      </c>
      <c r="G33" s="4">
        <v>15.12</v>
      </c>
      <c r="H33" s="4">
        <v>4.2000000000000003E-2</v>
      </c>
    </row>
    <row r="34" spans="1:8" x14ac:dyDescent="0.35">
      <c r="A34" s="5">
        <v>46274.015081018522</v>
      </c>
      <c r="B34" s="3" t="s">
        <v>23</v>
      </c>
      <c r="C34" s="4" t="s">
        <v>11</v>
      </c>
      <c r="D34" s="4" t="s">
        <v>12</v>
      </c>
      <c r="E34" s="4">
        <v>231.9</v>
      </c>
      <c r="F34" s="4">
        <v>39.200000000000003</v>
      </c>
      <c r="G34" s="4">
        <v>9.09</v>
      </c>
      <c r="H34" s="4">
        <v>2.5000000000000001E-2</v>
      </c>
    </row>
    <row r="35" spans="1:8" x14ac:dyDescent="0.35">
      <c r="A35" s="6">
        <v>46276.929652777777</v>
      </c>
      <c r="B35" s="3" t="s">
        <v>24</v>
      </c>
      <c r="C35" s="4" t="s">
        <v>17</v>
      </c>
      <c r="D35" s="4" t="s">
        <v>12</v>
      </c>
      <c r="E35" s="4">
        <v>235.3</v>
      </c>
      <c r="F35" s="4">
        <v>69.900000000000006</v>
      </c>
      <c r="G35" s="4">
        <v>16.45</v>
      </c>
      <c r="H35" s="4">
        <v>4.5999999999999999E-2</v>
      </c>
    </row>
    <row r="36" spans="1:8" x14ac:dyDescent="0.35">
      <c r="A36" s="5">
        <v>46287.859293981477</v>
      </c>
      <c r="B36" s="3" t="s">
        <v>23</v>
      </c>
      <c r="C36" s="4" t="s">
        <v>19</v>
      </c>
      <c r="D36" s="4" t="s">
        <v>12</v>
      </c>
      <c r="E36" s="4">
        <v>228.5</v>
      </c>
      <c r="F36" s="4">
        <v>104.7</v>
      </c>
      <c r="G36" s="4">
        <v>23.93</v>
      </c>
      <c r="H36" s="4">
        <v>6.6000000000000003E-2</v>
      </c>
    </row>
    <row r="37" spans="1:8" x14ac:dyDescent="0.35">
      <c r="A37" s="6">
        <v>46281.155775462961</v>
      </c>
      <c r="B37" s="3" t="s">
        <v>18</v>
      </c>
      <c r="C37" s="4" t="s">
        <v>11</v>
      </c>
      <c r="D37" s="4" t="s">
        <v>12</v>
      </c>
      <c r="E37" s="4">
        <v>230.4</v>
      </c>
      <c r="F37" s="4">
        <v>42.3</v>
      </c>
      <c r="G37" s="4">
        <v>9.74</v>
      </c>
      <c r="H37" s="4">
        <v>2.7E-2</v>
      </c>
    </row>
    <row r="38" spans="1:8" x14ac:dyDescent="0.35">
      <c r="A38" s="5">
        <v>46285.673368055563</v>
      </c>
      <c r="B38" s="3" t="s">
        <v>10</v>
      </c>
      <c r="C38" s="4" t="s">
        <v>19</v>
      </c>
      <c r="D38" s="4" t="s">
        <v>12</v>
      </c>
      <c r="E38" s="4">
        <v>232.9</v>
      </c>
      <c r="F38" s="4">
        <v>80.099999999999994</v>
      </c>
      <c r="G38" s="4">
        <v>18.66</v>
      </c>
      <c r="H38" s="4">
        <v>5.1999999999999998E-2</v>
      </c>
    </row>
    <row r="39" spans="1:8" x14ac:dyDescent="0.35">
      <c r="A39" s="6">
        <v>46285.964826388888</v>
      </c>
      <c r="B39" s="3" t="s">
        <v>26</v>
      </c>
      <c r="C39" s="4" t="s">
        <v>13</v>
      </c>
      <c r="D39" s="4" t="s">
        <v>12</v>
      </c>
      <c r="E39" s="4">
        <v>232.1</v>
      </c>
      <c r="F39" s="4">
        <v>99.2</v>
      </c>
      <c r="G39" s="4">
        <v>23.02</v>
      </c>
      <c r="H39" s="4">
        <v>6.4000000000000001E-2</v>
      </c>
    </row>
    <row r="40" spans="1:8" x14ac:dyDescent="0.35">
      <c r="A40" s="5">
        <v>46289.899502314824</v>
      </c>
      <c r="B40" s="3" t="s">
        <v>26</v>
      </c>
      <c r="C40" s="4" t="s">
        <v>22</v>
      </c>
      <c r="D40" s="4" t="s">
        <v>16</v>
      </c>
      <c r="E40" s="4">
        <v>230.1</v>
      </c>
      <c r="F40" s="4">
        <v>68.8</v>
      </c>
      <c r="G40" s="4">
        <v>15.84</v>
      </c>
      <c r="H40" s="4">
        <v>4.3999999999999997E-2</v>
      </c>
    </row>
    <row r="41" spans="1:8" x14ac:dyDescent="0.35">
      <c r="A41" s="6">
        <v>46277.075381944444</v>
      </c>
      <c r="B41" s="3" t="s">
        <v>24</v>
      </c>
      <c r="C41" s="4" t="s">
        <v>15</v>
      </c>
      <c r="D41" s="4" t="s">
        <v>16</v>
      </c>
      <c r="E41" s="4">
        <v>230.7</v>
      </c>
      <c r="F41" s="4">
        <v>25.3</v>
      </c>
      <c r="G41" s="4">
        <v>5.83</v>
      </c>
      <c r="H41" s="4">
        <v>1.6E-2</v>
      </c>
    </row>
    <row r="42" spans="1:8" x14ac:dyDescent="0.35">
      <c r="A42" s="5">
        <v>46277.512557870366</v>
      </c>
      <c r="B42" s="3" t="s">
        <v>20</v>
      </c>
      <c r="C42" s="4" t="s">
        <v>22</v>
      </c>
      <c r="D42" s="4" t="s">
        <v>16</v>
      </c>
      <c r="E42" s="4">
        <v>227.6</v>
      </c>
      <c r="F42" s="4">
        <v>76.400000000000006</v>
      </c>
      <c r="G42" s="4">
        <v>17.38</v>
      </c>
      <c r="H42" s="4">
        <v>4.8000000000000001E-2</v>
      </c>
    </row>
    <row r="43" spans="1:8" x14ac:dyDescent="0.35">
      <c r="A43" s="6">
        <v>46294.708541666667</v>
      </c>
      <c r="B43" s="3" t="s">
        <v>23</v>
      </c>
      <c r="C43" s="4" t="s">
        <v>13</v>
      </c>
      <c r="D43" s="4" t="s">
        <v>12</v>
      </c>
      <c r="E43" s="4">
        <v>230.4</v>
      </c>
      <c r="F43" s="4">
        <v>117.4</v>
      </c>
      <c r="G43" s="4">
        <v>27.05</v>
      </c>
      <c r="H43" s="4">
        <v>7.4999999999999997E-2</v>
      </c>
    </row>
    <row r="44" spans="1:8" x14ac:dyDescent="0.35">
      <c r="A44" s="5">
        <v>46271.537685185183</v>
      </c>
      <c r="B44" s="3" t="s">
        <v>26</v>
      </c>
      <c r="C44" s="4" t="s">
        <v>15</v>
      </c>
      <c r="D44" s="4" t="s">
        <v>16</v>
      </c>
      <c r="E44" s="4">
        <v>230.3</v>
      </c>
      <c r="F44" s="4">
        <v>30.9</v>
      </c>
      <c r="G44" s="4">
        <v>7.12</v>
      </c>
      <c r="H44" s="4">
        <v>0.02</v>
      </c>
    </row>
    <row r="45" spans="1:8" x14ac:dyDescent="0.35">
      <c r="A45" s="6">
        <v>46269.497488425928</v>
      </c>
      <c r="B45" s="3" t="s">
        <v>18</v>
      </c>
      <c r="C45" s="4" t="s">
        <v>25</v>
      </c>
      <c r="D45" s="4" t="s">
        <v>12</v>
      </c>
      <c r="E45" s="4">
        <v>231.6</v>
      </c>
      <c r="F45" s="4">
        <v>50.9</v>
      </c>
      <c r="G45" s="4">
        <v>11.8</v>
      </c>
      <c r="H45" s="4">
        <v>3.3000000000000002E-2</v>
      </c>
    </row>
    <row r="46" spans="1:8" x14ac:dyDescent="0.35">
      <c r="A46" s="5">
        <v>46283.77888888889</v>
      </c>
      <c r="B46" s="3" t="s">
        <v>26</v>
      </c>
      <c r="C46" s="4" t="s">
        <v>11</v>
      </c>
      <c r="D46" s="4" t="s">
        <v>12</v>
      </c>
      <c r="E46" s="4">
        <v>229.6</v>
      </c>
      <c r="F46" s="4">
        <v>45.1</v>
      </c>
      <c r="G46" s="4">
        <v>10.35</v>
      </c>
      <c r="H46" s="4">
        <v>2.9000000000000001E-2</v>
      </c>
    </row>
    <row r="47" spans="1:8" x14ac:dyDescent="0.35">
      <c r="A47" s="6">
        <v>46294.417083333326</v>
      </c>
      <c r="B47" s="3" t="s">
        <v>21</v>
      </c>
      <c r="C47" s="4" t="s">
        <v>19</v>
      </c>
      <c r="D47" s="4" t="s">
        <v>12</v>
      </c>
      <c r="E47" s="4">
        <v>232.2</v>
      </c>
      <c r="F47" s="4">
        <v>92.7</v>
      </c>
      <c r="G47" s="4">
        <v>21.53</v>
      </c>
      <c r="H47" s="4">
        <v>0.06</v>
      </c>
    </row>
    <row r="48" spans="1:8" x14ac:dyDescent="0.35">
      <c r="A48" s="5">
        <v>46270.226134259261</v>
      </c>
      <c r="B48" s="3" t="s">
        <v>26</v>
      </c>
      <c r="C48" s="4" t="s">
        <v>17</v>
      </c>
      <c r="D48" s="4" t="s">
        <v>12</v>
      </c>
      <c r="E48" s="4">
        <v>233.5</v>
      </c>
      <c r="F48" s="4">
        <v>86.9</v>
      </c>
      <c r="G48" s="4">
        <v>20.29</v>
      </c>
      <c r="H48" s="4">
        <v>5.6000000000000001E-2</v>
      </c>
    </row>
    <row r="49" spans="1:8" x14ac:dyDescent="0.35">
      <c r="A49" s="6">
        <v>46268.768842592603</v>
      </c>
      <c r="B49" s="3" t="s">
        <v>23</v>
      </c>
      <c r="C49" s="4" t="s">
        <v>19</v>
      </c>
      <c r="D49" s="4" t="s">
        <v>12</v>
      </c>
      <c r="E49" s="4">
        <v>231.4</v>
      </c>
      <c r="F49" s="4">
        <v>76.8</v>
      </c>
      <c r="G49" s="4">
        <v>17.77</v>
      </c>
      <c r="H49" s="4">
        <v>4.9000000000000002E-2</v>
      </c>
    </row>
    <row r="50" spans="1:8" x14ac:dyDescent="0.35">
      <c r="A50" s="5">
        <v>46286.839201388888</v>
      </c>
      <c r="B50" s="3" t="s">
        <v>10</v>
      </c>
      <c r="C50" s="4" t="s">
        <v>15</v>
      </c>
      <c r="D50" s="4" t="s">
        <v>16</v>
      </c>
      <c r="E50" s="4">
        <v>231.9</v>
      </c>
      <c r="F50" s="4">
        <v>27.6</v>
      </c>
      <c r="G50" s="4">
        <v>6.4</v>
      </c>
      <c r="H50" s="4">
        <v>1.7999999999999999E-2</v>
      </c>
    </row>
    <row r="51" spans="1:8" x14ac:dyDescent="0.35">
      <c r="A51" s="6">
        <v>46278.53266203704</v>
      </c>
      <c r="B51" s="3" t="s">
        <v>14</v>
      </c>
      <c r="C51" s="4" t="s">
        <v>13</v>
      </c>
      <c r="D51" s="4" t="s">
        <v>12</v>
      </c>
      <c r="E51" s="4">
        <v>231.1</v>
      </c>
      <c r="F51" s="4">
        <v>89.4</v>
      </c>
      <c r="G51" s="4">
        <v>20.67</v>
      </c>
      <c r="H51" s="4">
        <v>5.7000000000000002E-2</v>
      </c>
    </row>
    <row r="52" spans="1:8" x14ac:dyDescent="0.35">
      <c r="A52" s="5">
        <v>46282.613067129627</v>
      </c>
      <c r="B52" s="3" t="s">
        <v>24</v>
      </c>
      <c r="C52" s="4" t="s">
        <v>13</v>
      </c>
      <c r="D52" s="4" t="s">
        <v>12</v>
      </c>
      <c r="E52" s="4">
        <v>231</v>
      </c>
      <c r="F52" s="4">
        <v>106.9</v>
      </c>
      <c r="G52" s="4">
        <v>24.7</v>
      </c>
      <c r="H52" s="4">
        <v>6.9000000000000006E-2</v>
      </c>
    </row>
    <row r="53" spans="1:8" x14ac:dyDescent="0.35">
      <c r="A53" s="6">
        <v>46291.211053240739</v>
      </c>
      <c r="B53" s="3" t="s">
        <v>24</v>
      </c>
      <c r="C53" s="4" t="s">
        <v>22</v>
      </c>
      <c r="D53" s="4" t="s">
        <v>16</v>
      </c>
      <c r="E53" s="4">
        <v>229.2</v>
      </c>
      <c r="F53" s="4">
        <v>63.1</v>
      </c>
      <c r="G53" s="4">
        <v>14.46</v>
      </c>
      <c r="H53" s="4">
        <v>0.04</v>
      </c>
    </row>
    <row r="54" spans="1:8" x14ac:dyDescent="0.35">
      <c r="A54" s="5">
        <v>46266.728645833333</v>
      </c>
      <c r="B54" s="3" t="s">
        <v>23</v>
      </c>
      <c r="C54" s="4" t="s">
        <v>25</v>
      </c>
      <c r="D54" s="4" t="s">
        <v>12</v>
      </c>
      <c r="E54" s="4">
        <v>231.8</v>
      </c>
      <c r="F54" s="4">
        <v>45.5</v>
      </c>
      <c r="G54" s="4">
        <v>10.55</v>
      </c>
      <c r="H54" s="4">
        <v>2.9000000000000001E-2</v>
      </c>
    </row>
    <row r="55" spans="1:8" x14ac:dyDescent="0.35">
      <c r="A55" s="6">
        <v>46284.361805555563</v>
      </c>
      <c r="B55" s="3" t="s">
        <v>18</v>
      </c>
      <c r="C55" s="4" t="s">
        <v>17</v>
      </c>
      <c r="D55" s="4" t="s">
        <v>12</v>
      </c>
      <c r="E55" s="4">
        <v>230.8</v>
      </c>
      <c r="F55" s="4">
        <v>71.5</v>
      </c>
      <c r="G55" s="4">
        <v>16.5</v>
      </c>
      <c r="H55" s="4">
        <v>4.5999999999999999E-2</v>
      </c>
    </row>
    <row r="56" spans="1:8" x14ac:dyDescent="0.35">
      <c r="A56" s="5">
        <v>46283.050254629627</v>
      </c>
      <c r="B56" s="3" t="s">
        <v>10</v>
      </c>
      <c r="C56" s="4" t="s">
        <v>17</v>
      </c>
      <c r="D56" s="4" t="s">
        <v>12</v>
      </c>
      <c r="E56" s="4">
        <v>236.2</v>
      </c>
      <c r="F56" s="4">
        <v>84.1</v>
      </c>
      <c r="G56" s="4">
        <v>19.86</v>
      </c>
      <c r="H56" s="4">
        <v>5.5E-2</v>
      </c>
    </row>
    <row r="57" spans="1:8" x14ac:dyDescent="0.35">
      <c r="A57" s="6">
        <v>46276.638194444437</v>
      </c>
      <c r="B57" s="3" t="s">
        <v>10</v>
      </c>
      <c r="C57" s="4" t="s">
        <v>11</v>
      </c>
      <c r="D57" s="4" t="s">
        <v>12</v>
      </c>
      <c r="E57" s="4">
        <v>234.9</v>
      </c>
      <c r="F57" s="4">
        <v>37.200000000000003</v>
      </c>
      <c r="G57" s="4">
        <v>8.73</v>
      </c>
      <c r="H57" s="4">
        <v>2.4E-2</v>
      </c>
    </row>
    <row r="58" spans="1:8" x14ac:dyDescent="0.35">
      <c r="A58" s="5">
        <v>46286.402013888888</v>
      </c>
      <c r="B58" s="3" t="s">
        <v>10</v>
      </c>
      <c r="C58" s="4" t="s">
        <v>17</v>
      </c>
      <c r="D58" s="4" t="s">
        <v>12</v>
      </c>
      <c r="E58" s="4">
        <v>232</v>
      </c>
      <c r="F58" s="4">
        <v>95.7</v>
      </c>
      <c r="G58" s="4">
        <v>22.2</v>
      </c>
      <c r="H58" s="4">
        <v>6.2E-2</v>
      </c>
    </row>
    <row r="59" spans="1:8" x14ac:dyDescent="0.35">
      <c r="A59" s="6">
        <v>46280.281412037039</v>
      </c>
      <c r="B59" s="3" t="s">
        <v>10</v>
      </c>
      <c r="C59" s="4" t="s">
        <v>22</v>
      </c>
      <c r="D59" s="4" t="s">
        <v>16</v>
      </c>
      <c r="E59" s="4">
        <v>229.1</v>
      </c>
      <c r="F59" s="4">
        <v>69.2</v>
      </c>
      <c r="G59" s="4">
        <v>15.85</v>
      </c>
      <c r="H59" s="4">
        <v>4.3999999999999997E-2</v>
      </c>
    </row>
    <row r="60" spans="1:8" x14ac:dyDescent="0.35">
      <c r="A60" s="5">
        <v>46291.065324074072</v>
      </c>
      <c r="B60" s="3" t="s">
        <v>24</v>
      </c>
      <c r="C60" s="4" t="s">
        <v>13</v>
      </c>
      <c r="D60" s="4" t="s">
        <v>12</v>
      </c>
      <c r="E60" s="4">
        <v>228.2</v>
      </c>
      <c r="F60" s="4">
        <v>102.5</v>
      </c>
      <c r="G60" s="4">
        <v>23.39</v>
      </c>
      <c r="H60" s="4">
        <v>6.5000000000000002E-2</v>
      </c>
    </row>
    <row r="61" spans="1:8" x14ac:dyDescent="0.35">
      <c r="A61" s="6">
        <v>46279.989953703713</v>
      </c>
      <c r="B61" s="3" t="s">
        <v>23</v>
      </c>
      <c r="C61" s="4" t="s">
        <v>15</v>
      </c>
      <c r="D61" s="4" t="s">
        <v>16</v>
      </c>
      <c r="E61" s="4">
        <v>234</v>
      </c>
      <c r="F61" s="4">
        <v>29.1</v>
      </c>
      <c r="G61" s="4">
        <v>6.82</v>
      </c>
      <c r="H61" s="4">
        <v>1.9E-2</v>
      </c>
    </row>
    <row r="62" spans="1:8" x14ac:dyDescent="0.35">
      <c r="A62" s="5">
        <v>46290.628136574072</v>
      </c>
      <c r="B62" s="3" t="s">
        <v>20</v>
      </c>
      <c r="C62" s="4" t="s">
        <v>19</v>
      </c>
      <c r="D62" s="4" t="s">
        <v>12</v>
      </c>
      <c r="E62" s="4">
        <v>231.7</v>
      </c>
      <c r="F62" s="4">
        <v>74.7</v>
      </c>
      <c r="G62" s="4">
        <v>17.309999999999999</v>
      </c>
      <c r="H62" s="4">
        <v>4.8000000000000001E-2</v>
      </c>
    </row>
    <row r="63" spans="1:8" x14ac:dyDescent="0.35">
      <c r="A63" s="6">
        <v>46280.135682870372</v>
      </c>
      <c r="B63" s="3" t="s">
        <v>20</v>
      </c>
      <c r="C63" s="4" t="s">
        <v>13</v>
      </c>
      <c r="D63" s="4" t="s">
        <v>12</v>
      </c>
      <c r="E63" s="4">
        <v>232.2</v>
      </c>
      <c r="F63" s="4">
        <v>124.2</v>
      </c>
      <c r="G63" s="4">
        <v>28.84</v>
      </c>
      <c r="H63" s="4">
        <v>0.08</v>
      </c>
    </row>
    <row r="64" spans="1:8" x14ac:dyDescent="0.35">
      <c r="A64" s="5">
        <v>46270.517592592587</v>
      </c>
      <c r="B64" s="3" t="s">
        <v>23</v>
      </c>
      <c r="C64" s="4" t="s">
        <v>25</v>
      </c>
      <c r="D64" s="4" t="s">
        <v>12</v>
      </c>
      <c r="E64" s="4">
        <v>226.6</v>
      </c>
      <c r="F64" s="4">
        <v>53</v>
      </c>
      <c r="G64" s="4">
        <v>12.02</v>
      </c>
      <c r="H64" s="4">
        <v>3.3000000000000002E-2</v>
      </c>
    </row>
    <row r="65" spans="1:8" x14ac:dyDescent="0.35">
      <c r="A65" s="6">
        <v>46267.748738425929</v>
      </c>
      <c r="B65" s="3" t="s">
        <v>10</v>
      </c>
      <c r="C65" s="4" t="s">
        <v>19</v>
      </c>
      <c r="D65" s="4" t="s">
        <v>12</v>
      </c>
      <c r="E65" s="4">
        <v>233.3</v>
      </c>
      <c r="F65" s="4">
        <v>98.7</v>
      </c>
      <c r="G65" s="4">
        <v>23.03</v>
      </c>
      <c r="H65" s="4">
        <v>6.4000000000000001E-2</v>
      </c>
    </row>
    <row r="66" spans="1:8" x14ac:dyDescent="0.35">
      <c r="A66" s="5">
        <v>46271.100497685176</v>
      </c>
      <c r="B66" s="3" t="s">
        <v>23</v>
      </c>
      <c r="C66" s="4" t="s">
        <v>25</v>
      </c>
      <c r="D66" s="4" t="s">
        <v>12</v>
      </c>
      <c r="E66" s="4">
        <v>232.1</v>
      </c>
      <c r="F66" s="4">
        <v>44.3</v>
      </c>
      <c r="G66" s="4">
        <v>10.28</v>
      </c>
      <c r="H66" s="4">
        <v>2.9000000000000001E-2</v>
      </c>
    </row>
    <row r="67" spans="1:8" x14ac:dyDescent="0.35">
      <c r="A67" s="6">
        <v>46283.34171296296</v>
      </c>
      <c r="B67" s="3" t="s">
        <v>20</v>
      </c>
      <c r="C67" s="4" t="s">
        <v>25</v>
      </c>
      <c r="D67" s="4" t="s">
        <v>12</v>
      </c>
      <c r="E67" s="4">
        <v>228.2</v>
      </c>
      <c r="F67" s="4">
        <v>52.8</v>
      </c>
      <c r="G67" s="4">
        <v>12.04</v>
      </c>
      <c r="H67" s="4">
        <v>3.3000000000000002E-2</v>
      </c>
    </row>
    <row r="68" spans="1:8" x14ac:dyDescent="0.35">
      <c r="A68" s="5">
        <v>46272.12060185185</v>
      </c>
      <c r="B68" s="3" t="s">
        <v>10</v>
      </c>
      <c r="C68" s="4" t="s">
        <v>19</v>
      </c>
      <c r="D68" s="4" t="s">
        <v>12</v>
      </c>
      <c r="E68" s="4">
        <v>229.8</v>
      </c>
      <c r="F68" s="4">
        <v>90.6</v>
      </c>
      <c r="G68" s="4">
        <v>20.83</v>
      </c>
      <c r="H68" s="4">
        <v>5.8000000000000003E-2</v>
      </c>
    </row>
    <row r="69" spans="1:8" x14ac:dyDescent="0.35">
      <c r="A69" s="6">
        <v>46293.542708333327</v>
      </c>
      <c r="B69" s="3" t="s">
        <v>14</v>
      </c>
      <c r="C69" s="4" t="s">
        <v>25</v>
      </c>
      <c r="D69" s="4" t="s">
        <v>12</v>
      </c>
      <c r="E69" s="4">
        <v>231.7</v>
      </c>
      <c r="F69" s="4">
        <v>60.5</v>
      </c>
      <c r="G69" s="4">
        <v>14.01</v>
      </c>
      <c r="H69" s="4">
        <v>3.9E-2</v>
      </c>
    </row>
    <row r="70" spans="1:8" x14ac:dyDescent="0.35">
      <c r="A70" s="5">
        <v>46279.115578703713</v>
      </c>
      <c r="B70" s="3" t="s">
        <v>23</v>
      </c>
      <c r="C70" s="4" t="s">
        <v>11</v>
      </c>
      <c r="D70" s="4" t="s">
        <v>12</v>
      </c>
      <c r="E70" s="4">
        <v>231.1</v>
      </c>
      <c r="F70" s="4">
        <v>44</v>
      </c>
      <c r="G70" s="4">
        <v>10.16</v>
      </c>
      <c r="H70" s="4">
        <v>2.8000000000000001E-2</v>
      </c>
    </row>
    <row r="71" spans="1:8" x14ac:dyDescent="0.35">
      <c r="A71" s="6">
        <v>46285.819097222222</v>
      </c>
      <c r="B71" s="3" t="s">
        <v>26</v>
      </c>
      <c r="C71" s="4" t="s">
        <v>17</v>
      </c>
      <c r="D71" s="4" t="s">
        <v>12</v>
      </c>
      <c r="E71" s="4">
        <v>230.3</v>
      </c>
      <c r="F71" s="4">
        <v>82.8</v>
      </c>
      <c r="G71" s="4">
        <v>19.07</v>
      </c>
      <c r="H71" s="4">
        <v>5.2999999999999999E-2</v>
      </c>
    </row>
    <row r="72" spans="1:8" x14ac:dyDescent="0.35">
      <c r="A72" s="5">
        <v>46273.432164351849</v>
      </c>
      <c r="B72" s="3" t="s">
        <v>23</v>
      </c>
      <c r="C72" s="4" t="s">
        <v>13</v>
      </c>
      <c r="D72" s="4" t="s">
        <v>12</v>
      </c>
      <c r="E72" s="4">
        <v>230.7</v>
      </c>
      <c r="F72" s="4">
        <v>98.3</v>
      </c>
      <c r="G72" s="4">
        <v>22.67</v>
      </c>
      <c r="H72" s="4">
        <v>6.3E-2</v>
      </c>
    </row>
    <row r="73" spans="1:8" x14ac:dyDescent="0.35">
      <c r="A73" s="6">
        <v>46284.507534722223</v>
      </c>
      <c r="B73" s="3" t="s">
        <v>20</v>
      </c>
      <c r="C73" s="4" t="s">
        <v>22</v>
      </c>
      <c r="D73" s="4" t="s">
        <v>16</v>
      </c>
      <c r="E73" s="4">
        <v>230.4</v>
      </c>
      <c r="F73" s="4">
        <v>62.8</v>
      </c>
      <c r="G73" s="4">
        <v>14.47</v>
      </c>
      <c r="H73" s="4">
        <v>0.04</v>
      </c>
    </row>
    <row r="74" spans="1:8" x14ac:dyDescent="0.35">
      <c r="A74" s="5">
        <v>46289.608043981483</v>
      </c>
      <c r="B74" s="3" t="s">
        <v>23</v>
      </c>
      <c r="C74" s="4" t="s">
        <v>17</v>
      </c>
      <c r="D74" s="4" t="s">
        <v>12</v>
      </c>
      <c r="E74" s="4">
        <v>231.4</v>
      </c>
      <c r="F74" s="4">
        <v>83.8</v>
      </c>
      <c r="G74" s="4">
        <v>19.39</v>
      </c>
      <c r="H74" s="4">
        <v>5.3999999999999999E-2</v>
      </c>
    </row>
    <row r="75" spans="1:8" x14ac:dyDescent="0.35">
      <c r="A75" s="6">
        <v>46271.974872685183</v>
      </c>
      <c r="B75" s="3" t="s">
        <v>21</v>
      </c>
      <c r="C75" s="4" t="s">
        <v>11</v>
      </c>
      <c r="D75" s="4" t="s">
        <v>12</v>
      </c>
      <c r="E75" s="4">
        <v>234.7</v>
      </c>
      <c r="F75" s="4">
        <v>41.2</v>
      </c>
      <c r="G75" s="4">
        <v>9.68</v>
      </c>
      <c r="H75" s="4">
        <v>2.7E-2</v>
      </c>
    </row>
    <row r="76" spans="1:8" x14ac:dyDescent="0.35">
      <c r="A76" s="5">
        <v>46283.195983796293</v>
      </c>
      <c r="B76" s="3" t="s">
        <v>20</v>
      </c>
      <c r="C76" s="4" t="s">
        <v>15</v>
      </c>
      <c r="D76" s="4" t="s">
        <v>16</v>
      </c>
      <c r="E76" s="4">
        <v>224.6</v>
      </c>
      <c r="F76" s="4">
        <v>24.3</v>
      </c>
      <c r="G76" s="4">
        <v>5.46</v>
      </c>
      <c r="H76" s="4">
        <v>1.4999999999999999E-2</v>
      </c>
    </row>
    <row r="77" spans="1:8" x14ac:dyDescent="0.35">
      <c r="A77" s="6">
        <v>46282.46733796296</v>
      </c>
      <c r="B77" s="3" t="s">
        <v>26</v>
      </c>
      <c r="C77" s="4" t="s">
        <v>17</v>
      </c>
      <c r="D77" s="4" t="s">
        <v>12</v>
      </c>
      <c r="E77" s="4">
        <v>230.4</v>
      </c>
      <c r="F77" s="4">
        <v>93.4</v>
      </c>
      <c r="G77" s="4">
        <v>21.51</v>
      </c>
      <c r="H77" s="4">
        <v>0.06</v>
      </c>
    </row>
    <row r="78" spans="1:8" x14ac:dyDescent="0.35">
      <c r="A78" s="5">
        <v>46269.788946759261</v>
      </c>
      <c r="B78" s="3" t="s">
        <v>20</v>
      </c>
      <c r="C78" s="4" t="s">
        <v>25</v>
      </c>
      <c r="D78" s="4" t="s">
        <v>12</v>
      </c>
      <c r="E78" s="4">
        <v>231.4</v>
      </c>
      <c r="F78" s="4">
        <v>59.8</v>
      </c>
      <c r="G78" s="4">
        <v>13.83</v>
      </c>
      <c r="H78" s="4">
        <v>3.7999999999999999E-2</v>
      </c>
    </row>
    <row r="79" spans="1:8" x14ac:dyDescent="0.35">
      <c r="A79" s="6">
        <v>46286.256284722222</v>
      </c>
      <c r="B79" s="3" t="s">
        <v>14</v>
      </c>
      <c r="C79" s="4" t="s">
        <v>22</v>
      </c>
      <c r="D79" s="4" t="s">
        <v>16</v>
      </c>
      <c r="E79" s="4">
        <v>231.7</v>
      </c>
      <c r="F79" s="4">
        <v>57.9</v>
      </c>
      <c r="G79" s="4">
        <v>13.41</v>
      </c>
      <c r="H79" s="4">
        <v>3.6999999999999998E-2</v>
      </c>
    </row>
    <row r="80" spans="1:8" x14ac:dyDescent="0.35">
      <c r="A80" s="5">
        <v>46280.572858796288</v>
      </c>
      <c r="B80" s="3" t="s">
        <v>26</v>
      </c>
      <c r="C80" s="4" t="s">
        <v>17</v>
      </c>
      <c r="D80" s="4" t="s">
        <v>12</v>
      </c>
      <c r="E80" s="4">
        <v>230.1</v>
      </c>
      <c r="F80" s="4">
        <v>85.3</v>
      </c>
      <c r="G80" s="4">
        <v>19.62</v>
      </c>
      <c r="H80" s="4">
        <v>5.5E-2</v>
      </c>
    </row>
    <row r="81" spans="1:8" x14ac:dyDescent="0.35">
      <c r="A81" s="6">
        <v>46282.175879629627</v>
      </c>
      <c r="B81" s="3" t="s">
        <v>23</v>
      </c>
      <c r="C81" s="4" t="s">
        <v>15</v>
      </c>
      <c r="D81" s="4" t="s">
        <v>16</v>
      </c>
      <c r="E81" s="4">
        <v>226.6</v>
      </c>
      <c r="F81" s="4">
        <v>25</v>
      </c>
      <c r="G81" s="4">
        <v>5.67</v>
      </c>
      <c r="H81" s="4">
        <v>1.6E-2</v>
      </c>
    </row>
    <row r="82" spans="1:8" x14ac:dyDescent="0.35">
      <c r="A82" s="5">
        <v>46266.291458333333</v>
      </c>
      <c r="B82" s="3" t="s">
        <v>21</v>
      </c>
      <c r="C82" s="4" t="s">
        <v>19</v>
      </c>
      <c r="D82" s="4" t="s">
        <v>12</v>
      </c>
      <c r="E82" s="4">
        <v>231.8</v>
      </c>
      <c r="F82" s="4">
        <v>95.8</v>
      </c>
      <c r="G82" s="4">
        <v>22.2</v>
      </c>
      <c r="H82" s="4">
        <v>6.2E-2</v>
      </c>
    </row>
    <row r="83" spans="1:8" x14ac:dyDescent="0.35">
      <c r="A83" s="6">
        <v>46277.22111111111</v>
      </c>
      <c r="B83" s="3" t="s">
        <v>24</v>
      </c>
      <c r="C83" s="4" t="s">
        <v>17</v>
      </c>
      <c r="D83" s="4" t="s">
        <v>12</v>
      </c>
      <c r="E83" s="4">
        <v>235.3</v>
      </c>
      <c r="F83" s="4">
        <v>75.400000000000006</v>
      </c>
      <c r="G83" s="4">
        <v>17.73</v>
      </c>
      <c r="H83" s="4">
        <v>4.9000000000000002E-2</v>
      </c>
    </row>
    <row r="84" spans="1:8" x14ac:dyDescent="0.35">
      <c r="A84" s="5">
        <v>46272.703518518523</v>
      </c>
      <c r="B84" s="3" t="s">
        <v>24</v>
      </c>
      <c r="C84" s="4" t="s">
        <v>22</v>
      </c>
      <c r="D84" s="4" t="s">
        <v>16</v>
      </c>
      <c r="E84" s="4">
        <v>227.2</v>
      </c>
      <c r="F84" s="4">
        <v>71.7</v>
      </c>
      <c r="G84" s="4">
        <v>16.28</v>
      </c>
      <c r="H84" s="4">
        <v>4.4999999999999998E-2</v>
      </c>
    </row>
    <row r="85" spans="1:8" x14ac:dyDescent="0.35">
      <c r="A85" s="6">
        <v>46293.251261574071</v>
      </c>
      <c r="B85" s="3" t="s">
        <v>20</v>
      </c>
      <c r="C85" s="4" t="s">
        <v>13</v>
      </c>
      <c r="D85" s="4" t="s">
        <v>12</v>
      </c>
      <c r="E85" s="4">
        <v>233.2</v>
      </c>
      <c r="F85" s="4">
        <v>114.8</v>
      </c>
      <c r="G85" s="4">
        <v>26.77</v>
      </c>
      <c r="H85" s="4">
        <v>7.3999999999999996E-2</v>
      </c>
    </row>
    <row r="86" spans="1:8" x14ac:dyDescent="0.35">
      <c r="A86" s="5">
        <v>46293.834166666667</v>
      </c>
      <c r="B86" s="3" t="s">
        <v>24</v>
      </c>
      <c r="C86" s="4" t="s">
        <v>15</v>
      </c>
      <c r="D86" s="4" t="s">
        <v>16</v>
      </c>
      <c r="E86" s="4">
        <v>230.2</v>
      </c>
      <c r="F86" s="4">
        <v>31.5</v>
      </c>
      <c r="G86" s="4">
        <v>7.24</v>
      </c>
      <c r="H86" s="4">
        <v>0.02</v>
      </c>
    </row>
    <row r="87" spans="1:8" x14ac:dyDescent="0.35">
      <c r="A87" s="6">
        <v>46278.386932870373</v>
      </c>
      <c r="B87" s="3" t="s">
        <v>20</v>
      </c>
      <c r="C87" s="4" t="s">
        <v>15</v>
      </c>
      <c r="D87" s="4" t="s">
        <v>16</v>
      </c>
      <c r="E87" s="4">
        <v>230.8</v>
      </c>
      <c r="F87" s="4">
        <v>24.6</v>
      </c>
      <c r="G87" s="4">
        <v>5.67</v>
      </c>
      <c r="H87" s="4">
        <v>1.6E-2</v>
      </c>
    </row>
    <row r="88" spans="1:8" x14ac:dyDescent="0.35">
      <c r="A88" s="5">
        <v>46289.462314814817</v>
      </c>
      <c r="B88" s="3" t="s">
        <v>18</v>
      </c>
      <c r="C88" s="4" t="s">
        <v>11</v>
      </c>
      <c r="D88" s="4" t="s">
        <v>12</v>
      </c>
      <c r="E88" s="4">
        <v>228.4</v>
      </c>
      <c r="F88" s="4">
        <v>49.8</v>
      </c>
      <c r="G88" s="4">
        <v>11.38</v>
      </c>
      <c r="H88" s="4">
        <v>3.2000000000000001E-2</v>
      </c>
    </row>
    <row r="89" spans="1:8" x14ac:dyDescent="0.35">
      <c r="A89" s="6">
        <v>46271.24622685185</v>
      </c>
      <c r="B89" s="3" t="s">
        <v>26</v>
      </c>
      <c r="C89" s="4" t="s">
        <v>25</v>
      </c>
      <c r="D89" s="4" t="s">
        <v>12</v>
      </c>
      <c r="E89" s="4">
        <v>230.2</v>
      </c>
      <c r="F89" s="4">
        <v>47.4</v>
      </c>
      <c r="G89" s="4">
        <v>10.92</v>
      </c>
      <c r="H89" s="4">
        <v>0.03</v>
      </c>
    </row>
    <row r="90" spans="1:8" x14ac:dyDescent="0.35">
      <c r="A90" s="5">
        <v>46293.688437500001</v>
      </c>
      <c r="B90" s="3" t="s">
        <v>24</v>
      </c>
      <c r="C90" s="4" t="s">
        <v>13</v>
      </c>
      <c r="D90" s="4" t="s">
        <v>12</v>
      </c>
      <c r="E90" s="4">
        <v>234.3</v>
      </c>
      <c r="F90" s="4">
        <v>88</v>
      </c>
      <c r="G90" s="4">
        <v>20.63</v>
      </c>
      <c r="H90" s="4">
        <v>5.7000000000000002E-2</v>
      </c>
    </row>
    <row r="91" spans="1:8" x14ac:dyDescent="0.35">
      <c r="A91" s="6">
        <v>46274.889444444438</v>
      </c>
      <c r="B91" s="3" t="s">
        <v>14</v>
      </c>
      <c r="C91" s="4" t="s">
        <v>13</v>
      </c>
      <c r="D91" s="4" t="s">
        <v>12</v>
      </c>
      <c r="E91" s="4">
        <v>232.5</v>
      </c>
      <c r="F91" s="4">
        <v>108.6</v>
      </c>
      <c r="G91" s="4">
        <v>25.24</v>
      </c>
      <c r="H91" s="4">
        <v>7.0000000000000007E-2</v>
      </c>
    </row>
    <row r="92" spans="1:8" x14ac:dyDescent="0.35">
      <c r="A92" s="5">
        <v>46269.206030092602</v>
      </c>
      <c r="B92" s="3" t="s">
        <v>14</v>
      </c>
      <c r="C92" s="4" t="s">
        <v>17</v>
      </c>
      <c r="D92" s="4" t="s">
        <v>12</v>
      </c>
      <c r="E92" s="4">
        <v>235.3</v>
      </c>
      <c r="F92" s="4">
        <v>78</v>
      </c>
      <c r="G92" s="4">
        <v>18.36</v>
      </c>
      <c r="H92" s="4">
        <v>5.0999999999999997E-2</v>
      </c>
    </row>
    <row r="93" spans="1:8" x14ac:dyDescent="0.35">
      <c r="A93" s="6">
        <v>46286.547743055547</v>
      </c>
      <c r="B93" s="3" t="s">
        <v>10</v>
      </c>
      <c r="C93" s="4" t="s">
        <v>13</v>
      </c>
      <c r="D93" s="4" t="s">
        <v>12</v>
      </c>
      <c r="E93" s="4">
        <v>233.9</v>
      </c>
      <c r="F93" s="4">
        <v>118.4</v>
      </c>
      <c r="G93" s="4">
        <v>27.69</v>
      </c>
      <c r="H93" s="4">
        <v>7.6999999999999999E-2</v>
      </c>
    </row>
    <row r="94" spans="1:8" x14ac:dyDescent="0.35">
      <c r="A94" s="5">
        <v>46280.718587962961</v>
      </c>
      <c r="B94" s="3" t="s">
        <v>24</v>
      </c>
      <c r="C94" s="4" t="s">
        <v>13</v>
      </c>
      <c r="D94" s="4" t="s">
        <v>12</v>
      </c>
      <c r="E94" s="4">
        <v>232.1</v>
      </c>
      <c r="F94" s="4">
        <v>118.5</v>
      </c>
      <c r="G94" s="4">
        <v>27.5</v>
      </c>
      <c r="H94" s="4">
        <v>7.5999999999999998E-2</v>
      </c>
    </row>
    <row r="95" spans="1:8" x14ac:dyDescent="0.35">
      <c r="A95" s="6">
        <v>46270.809050925927</v>
      </c>
      <c r="B95" s="3" t="s">
        <v>10</v>
      </c>
      <c r="C95" s="4" t="s">
        <v>25</v>
      </c>
      <c r="D95" s="4" t="s">
        <v>12</v>
      </c>
      <c r="E95" s="4">
        <v>235.4</v>
      </c>
      <c r="F95" s="4">
        <v>48</v>
      </c>
      <c r="G95" s="4">
        <v>11.3</v>
      </c>
      <c r="H95" s="4">
        <v>3.1E-2</v>
      </c>
    </row>
    <row r="96" spans="1:8" x14ac:dyDescent="0.35">
      <c r="A96" s="5">
        <v>46267.603020833332</v>
      </c>
      <c r="B96" s="3" t="s">
        <v>21</v>
      </c>
      <c r="C96" s="4" t="s">
        <v>19</v>
      </c>
      <c r="D96" s="4" t="s">
        <v>12</v>
      </c>
      <c r="E96" s="4">
        <v>232.1</v>
      </c>
      <c r="F96" s="4">
        <v>104.7</v>
      </c>
      <c r="G96" s="4">
        <v>24.31</v>
      </c>
      <c r="H96" s="4">
        <v>6.8000000000000005E-2</v>
      </c>
    </row>
    <row r="97" spans="1:8" x14ac:dyDescent="0.35">
      <c r="A97" s="6">
        <v>46294.271354166667</v>
      </c>
      <c r="B97" s="3" t="s">
        <v>10</v>
      </c>
      <c r="C97" s="4" t="s">
        <v>25</v>
      </c>
      <c r="D97" s="4" t="s">
        <v>12</v>
      </c>
      <c r="E97" s="4">
        <v>233.1</v>
      </c>
      <c r="F97" s="4">
        <v>48</v>
      </c>
      <c r="G97" s="4">
        <v>11.19</v>
      </c>
      <c r="H97" s="4">
        <v>3.1E-2</v>
      </c>
    </row>
    <row r="98" spans="1:8" x14ac:dyDescent="0.35">
      <c r="A98" s="5">
        <v>46289.170856481483</v>
      </c>
      <c r="B98" s="3" t="s">
        <v>20</v>
      </c>
      <c r="C98" s="4" t="s">
        <v>22</v>
      </c>
      <c r="D98" s="4" t="s">
        <v>16</v>
      </c>
      <c r="E98" s="4">
        <v>230.3</v>
      </c>
      <c r="F98" s="4">
        <v>67.2</v>
      </c>
      <c r="G98" s="4">
        <v>15.48</v>
      </c>
      <c r="H98" s="4">
        <v>4.2999999999999997E-2</v>
      </c>
    </row>
    <row r="99" spans="1:8" x14ac:dyDescent="0.35">
      <c r="A99" s="6">
        <v>46266.874374999999</v>
      </c>
      <c r="B99" s="3" t="s">
        <v>21</v>
      </c>
      <c r="C99" s="4" t="s">
        <v>15</v>
      </c>
      <c r="D99" s="4" t="s">
        <v>16</v>
      </c>
      <c r="E99" s="4">
        <v>231.2</v>
      </c>
      <c r="F99" s="4">
        <v>26</v>
      </c>
      <c r="G99" s="4">
        <v>6.02</v>
      </c>
      <c r="H99" s="4">
        <v>1.7000000000000001E-2</v>
      </c>
    </row>
    <row r="100" spans="1:8" x14ac:dyDescent="0.35">
      <c r="A100" s="5">
        <v>46269.934675925928</v>
      </c>
      <c r="B100" s="3" t="s">
        <v>14</v>
      </c>
      <c r="C100" s="4" t="s">
        <v>15</v>
      </c>
      <c r="D100" s="4" t="s">
        <v>16</v>
      </c>
      <c r="E100" s="4">
        <v>229.3</v>
      </c>
      <c r="F100" s="4">
        <v>33.299999999999997</v>
      </c>
      <c r="G100" s="4">
        <v>7.64</v>
      </c>
      <c r="H100" s="4">
        <v>2.1000000000000001E-2</v>
      </c>
    </row>
    <row r="101" spans="1:8" x14ac:dyDescent="0.35">
      <c r="A101" s="6">
        <v>46283.487442129634</v>
      </c>
      <c r="B101" s="3" t="s">
        <v>10</v>
      </c>
      <c r="C101" s="4" t="s">
        <v>11</v>
      </c>
      <c r="D101" s="4" t="s">
        <v>12</v>
      </c>
      <c r="E101" s="4">
        <v>233.5</v>
      </c>
      <c r="F101" s="4">
        <v>37.299999999999997</v>
      </c>
      <c r="G101" s="4">
        <v>8.6999999999999993</v>
      </c>
      <c r="H101" s="4">
        <v>2.4E-2</v>
      </c>
    </row>
    <row r="102" spans="1:8" x14ac:dyDescent="0.35">
      <c r="A102" s="5">
        <v>46266.582916666674</v>
      </c>
      <c r="B102" s="3" t="s">
        <v>21</v>
      </c>
      <c r="C102" s="4" t="s">
        <v>13</v>
      </c>
      <c r="D102" s="4" t="s">
        <v>12</v>
      </c>
      <c r="E102" s="4">
        <v>228.1</v>
      </c>
      <c r="F102" s="4">
        <v>90.7</v>
      </c>
      <c r="G102" s="4">
        <v>20.7</v>
      </c>
      <c r="H102" s="4">
        <v>5.8000000000000003E-2</v>
      </c>
    </row>
    <row r="103" spans="1:8" x14ac:dyDescent="0.35">
      <c r="A103" s="6">
        <v>46270.663321759261</v>
      </c>
      <c r="B103" s="3" t="s">
        <v>20</v>
      </c>
      <c r="C103" s="4" t="s">
        <v>22</v>
      </c>
      <c r="D103" s="4" t="s">
        <v>16</v>
      </c>
      <c r="E103" s="4">
        <v>233</v>
      </c>
      <c r="F103" s="4">
        <v>64.5</v>
      </c>
      <c r="G103" s="4">
        <v>15.04</v>
      </c>
      <c r="H103" s="4">
        <v>4.2000000000000003E-2</v>
      </c>
    </row>
    <row r="104" spans="1:8" x14ac:dyDescent="0.35">
      <c r="A104" s="5">
        <v>46286.693472222221</v>
      </c>
      <c r="B104" s="3" t="s">
        <v>18</v>
      </c>
      <c r="C104" s="4" t="s">
        <v>13</v>
      </c>
      <c r="D104" s="4" t="s">
        <v>12</v>
      </c>
      <c r="E104" s="4">
        <v>230.5</v>
      </c>
      <c r="F104" s="4">
        <v>126.4</v>
      </c>
      <c r="G104" s="4">
        <v>29.14</v>
      </c>
      <c r="H104" s="4">
        <v>8.1000000000000003E-2</v>
      </c>
    </row>
    <row r="105" spans="1:8" x14ac:dyDescent="0.35">
      <c r="A105" s="6">
        <v>46287.130648148152</v>
      </c>
      <c r="B105" s="3" t="s">
        <v>26</v>
      </c>
      <c r="C105" s="4" t="s">
        <v>11</v>
      </c>
      <c r="D105" s="4" t="s">
        <v>12</v>
      </c>
      <c r="E105" s="4">
        <v>233.9</v>
      </c>
      <c r="F105" s="4">
        <v>48.3</v>
      </c>
      <c r="G105" s="4">
        <v>11.3</v>
      </c>
      <c r="H105" s="4">
        <v>3.1E-2</v>
      </c>
    </row>
    <row r="106" spans="1:8" x14ac:dyDescent="0.35">
      <c r="A106" s="5">
        <v>46281.884421296287</v>
      </c>
      <c r="B106" s="3" t="s">
        <v>10</v>
      </c>
      <c r="C106" s="4" t="s">
        <v>13</v>
      </c>
      <c r="D106" s="4" t="s">
        <v>12</v>
      </c>
      <c r="E106" s="4">
        <v>232.9</v>
      </c>
      <c r="F106" s="4">
        <v>115.8</v>
      </c>
      <c r="G106" s="4">
        <v>26.97</v>
      </c>
      <c r="H106" s="4">
        <v>7.4999999999999997E-2</v>
      </c>
    </row>
    <row r="107" spans="1:8" x14ac:dyDescent="0.35">
      <c r="A107" s="6">
        <v>46286.984918981478</v>
      </c>
      <c r="B107" s="3" t="s">
        <v>21</v>
      </c>
      <c r="C107" s="4" t="s">
        <v>13</v>
      </c>
      <c r="D107" s="4" t="s">
        <v>12</v>
      </c>
      <c r="E107" s="4">
        <v>235.6</v>
      </c>
      <c r="F107" s="4">
        <v>119.8</v>
      </c>
      <c r="G107" s="4">
        <v>28.23</v>
      </c>
      <c r="H107" s="4">
        <v>7.8E-2</v>
      </c>
    </row>
    <row r="108" spans="1:8" x14ac:dyDescent="0.35">
      <c r="A108" s="5">
        <v>46267.457291666673</v>
      </c>
      <c r="B108" s="3" t="s">
        <v>24</v>
      </c>
      <c r="C108" s="4" t="s">
        <v>13</v>
      </c>
      <c r="D108" s="4" t="s">
        <v>12</v>
      </c>
      <c r="E108" s="4">
        <v>232.8</v>
      </c>
      <c r="F108" s="4">
        <v>121.4</v>
      </c>
      <c r="G108" s="4">
        <v>28.26</v>
      </c>
      <c r="H108" s="4">
        <v>7.8E-2</v>
      </c>
    </row>
    <row r="109" spans="1:8" x14ac:dyDescent="0.35">
      <c r="A109" s="6">
        <v>46275.035173611112</v>
      </c>
      <c r="B109" s="3" t="s">
        <v>26</v>
      </c>
      <c r="C109" s="4" t="s">
        <v>15</v>
      </c>
      <c r="D109" s="4" t="s">
        <v>16</v>
      </c>
      <c r="E109" s="4">
        <v>227.1</v>
      </c>
      <c r="F109" s="4">
        <v>29.2</v>
      </c>
      <c r="G109" s="4">
        <v>6.64</v>
      </c>
      <c r="H109" s="4">
        <v>1.7999999999999999E-2</v>
      </c>
    </row>
    <row r="110" spans="1:8" x14ac:dyDescent="0.35">
      <c r="A110" s="5">
        <v>46282.321608796286</v>
      </c>
      <c r="B110" s="3" t="s">
        <v>10</v>
      </c>
      <c r="C110" s="4" t="s">
        <v>17</v>
      </c>
      <c r="D110" s="4" t="s">
        <v>12</v>
      </c>
      <c r="E110" s="4">
        <v>230.8</v>
      </c>
      <c r="F110" s="4">
        <v>77.900000000000006</v>
      </c>
      <c r="G110" s="4">
        <v>17.97</v>
      </c>
      <c r="H110" s="4">
        <v>0.05</v>
      </c>
    </row>
    <row r="111" spans="1:8" x14ac:dyDescent="0.35">
      <c r="A111" s="6">
        <v>46287.276377314818</v>
      </c>
      <c r="B111" s="3" t="s">
        <v>14</v>
      </c>
      <c r="C111" s="4" t="s">
        <v>15</v>
      </c>
      <c r="D111" s="4" t="s">
        <v>16</v>
      </c>
      <c r="E111" s="4">
        <v>228.1</v>
      </c>
      <c r="F111" s="4">
        <v>31.8</v>
      </c>
      <c r="G111" s="4">
        <v>7.25</v>
      </c>
      <c r="H111" s="4">
        <v>0.02</v>
      </c>
    </row>
    <row r="112" spans="1:8" x14ac:dyDescent="0.35">
      <c r="A112" s="5">
        <v>46290.190949074073</v>
      </c>
      <c r="B112" s="3" t="s">
        <v>14</v>
      </c>
      <c r="C112" s="4" t="s">
        <v>22</v>
      </c>
      <c r="D112" s="4" t="s">
        <v>16</v>
      </c>
      <c r="E112" s="4">
        <v>229.7</v>
      </c>
      <c r="F112" s="4">
        <v>71</v>
      </c>
      <c r="G112" s="4">
        <v>16.3</v>
      </c>
      <c r="H112" s="4">
        <v>4.4999999999999998E-2</v>
      </c>
    </row>
    <row r="113" spans="1:8" x14ac:dyDescent="0.35">
      <c r="A113" s="6">
        <v>46266</v>
      </c>
      <c r="B113" s="3" t="s">
        <v>23</v>
      </c>
      <c r="C113" s="4" t="s">
        <v>13</v>
      </c>
      <c r="D113" s="4" t="s">
        <v>12</v>
      </c>
      <c r="E113" s="4">
        <v>234.8</v>
      </c>
      <c r="F113" s="4">
        <v>100.6</v>
      </c>
      <c r="G113" s="4">
        <v>23.62</v>
      </c>
      <c r="H113" s="4">
        <v>6.6000000000000003E-2</v>
      </c>
    </row>
    <row r="114" spans="1:8" x14ac:dyDescent="0.35">
      <c r="A114" s="5">
        <v>46294.854270833333</v>
      </c>
      <c r="B114" s="3" t="s">
        <v>26</v>
      </c>
      <c r="C114" s="4" t="s">
        <v>17</v>
      </c>
      <c r="D114" s="4" t="s">
        <v>12</v>
      </c>
      <c r="E114" s="4">
        <v>232.6</v>
      </c>
      <c r="F114" s="4">
        <v>70.7</v>
      </c>
      <c r="G114" s="4">
        <v>16.440000000000001</v>
      </c>
      <c r="H114" s="4">
        <v>4.5999999999999999E-2</v>
      </c>
    </row>
    <row r="115" spans="1:8" x14ac:dyDescent="0.35">
      <c r="A115" s="6">
        <v>46288.296481481477</v>
      </c>
      <c r="B115" s="3" t="s">
        <v>24</v>
      </c>
      <c r="C115" s="4" t="s">
        <v>17</v>
      </c>
      <c r="D115" s="4" t="s">
        <v>12</v>
      </c>
      <c r="E115" s="4">
        <v>229.3</v>
      </c>
      <c r="F115" s="4">
        <v>91.4</v>
      </c>
      <c r="G115" s="4">
        <v>20.96</v>
      </c>
      <c r="H115" s="4">
        <v>5.8000000000000003E-2</v>
      </c>
    </row>
    <row r="116" spans="1:8" x14ac:dyDescent="0.35">
      <c r="A116" s="5">
        <v>46276.201006944437</v>
      </c>
      <c r="B116" s="3" t="s">
        <v>24</v>
      </c>
      <c r="C116" s="4" t="s">
        <v>17</v>
      </c>
      <c r="D116" s="4" t="s">
        <v>12</v>
      </c>
      <c r="E116" s="4">
        <v>228.5</v>
      </c>
      <c r="F116" s="4">
        <v>77</v>
      </c>
      <c r="G116" s="4">
        <v>17.600000000000001</v>
      </c>
      <c r="H116" s="4">
        <v>4.9000000000000002E-2</v>
      </c>
    </row>
    <row r="117" spans="1:8" x14ac:dyDescent="0.35">
      <c r="A117" s="6">
        <v>46283.924618055556</v>
      </c>
      <c r="B117" s="3" t="s">
        <v>20</v>
      </c>
      <c r="C117" s="4" t="s">
        <v>17</v>
      </c>
      <c r="D117" s="4" t="s">
        <v>12</v>
      </c>
      <c r="E117" s="4">
        <v>231.1</v>
      </c>
      <c r="F117" s="4">
        <v>96.4</v>
      </c>
      <c r="G117" s="4">
        <v>22.28</v>
      </c>
      <c r="H117" s="4">
        <v>6.2E-2</v>
      </c>
    </row>
    <row r="118" spans="1:8" x14ac:dyDescent="0.35">
      <c r="A118" s="5">
        <v>46275.326631944437</v>
      </c>
      <c r="B118" s="3" t="s">
        <v>18</v>
      </c>
      <c r="C118" s="4" t="s">
        <v>11</v>
      </c>
      <c r="D118" s="4" t="s">
        <v>12</v>
      </c>
      <c r="E118" s="4">
        <v>228</v>
      </c>
      <c r="F118" s="4">
        <v>39.4</v>
      </c>
      <c r="G118" s="4">
        <v>8.98</v>
      </c>
      <c r="H118" s="4">
        <v>2.5000000000000001E-2</v>
      </c>
    </row>
    <row r="119" spans="1:8" x14ac:dyDescent="0.35">
      <c r="A119" s="6">
        <v>46272.412060185183</v>
      </c>
      <c r="B119" s="3" t="s">
        <v>21</v>
      </c>
      <c r="C119" s="4" t="s">
        <v>11</v>
      </c>
      <c r="D119" s="4" t="s">
        <v>12</v>
      </c>
      <c r="E119" s="4">
        <v>229.3</v>
      </c>
      <c r="F119" s="4">
        <v>37.299999999999997</v>
      </c>
      <c r="G119" s="4">
        <v>8.56</v>
      </c>
      <c r="H119" s="4">
        <v>2.4E-2</v>
      </c>
    </row>
    <row r="120" spans="1:8" x14ac:dyDescent="0.35">
      <c r="A120" s="5">
        <v>46289.75377314815</v>
      </c>
      <c r="B120" s="3" t="s">
        <v>26</v>
      </c>
      <c r="C120" s="4" t="s">
        <v>22</v>
      </c>
      <c r="D120" s="4" t="s">
        <v>16</v>
      </c>
      <c r="E120" s="4">
        <v>231.8</v>
      </c>
      <c r="F120" s="4">
        <v>74.400000000000006</v>
      </c>
      <c r="G120" s="4">
        <v>17.239999999999998</v>
      </c>
      <c r="H120" s="4">
        <v>4.8000000000000001E-2</v>
      </c>
    </row>
    <row r="121" spans="1:8" x14ac:dyDescent="0.35">
      <c r="A121" s="6">
        <v>46270.080405092587</v>
      </c>
      <c r="B121" s="3" t="s">
        <v>10</v>
      </c>
      <c r="C121" s="4" t="s">
        <v>11</v>
      </c>
      <c r="D121" s="4" t="s">
        <v>12</v>
      </c>
      <c r="E121" s="4">
        <v>233.9</v>
      </c>
      <c r="F121" s="4">
        <v>37</v>
      </c>
      <c r="G121" s="4">
        <v>8.66</v>
      </c>
      <c r="H121" s="4">
        <v>2.4E-2</v>
      </c>
    </row>
    <row r="122" spans="1:8" x14ac:dyDescent="0.35">
      <c r="A122" s="5">
        <v>46271.829143518517</v>
      </c>
      <c r="B122" s="3" t="s">
        <v>14</v>
      </c>
      <c r="C122" s="4" t="s">
        <v>17</v>
      </c>
      <c r="D122" s="4" t="s">
        <v>12</v>
      </c>
      <c r="E122" s="4">
        <v>232.5</v>
      </c>
      <c r="F122" s="4">
        <v>73.2</v>
      </c>
      <c r="G122" s="4">
        <v>17.03</v>
      </c>
      <c r="H122" s="4">
        <v>4.7E-2</v>
      </c>
    </row>
    <row r="123" spans="1:8" x14ac:dyDescent="0.35">
      <c r="A123" s="6">
        <v>46281.738692129627</v>
      </c>
      <c r="B123" s="3" t="s">
        <v>14</v>
      </c>
      <c r="C123" s="4" t="s">
        <v>15</v>
      </c>
      <c r="D123" s="4" t="s">
        <v>16</v>
      </c>
      <c r="E123" s="4">
        <v>225.3</v>
      </c>
      <c r="F123" s="4">
        <v>30.4</v>
      </c>
      <c r="G123" s="4">
        <v>6.84</v>
      </c>
      <c r="H123" s="4">
        <v>1.9E-2</v>
      </c>
    </row>
    <row r="124" spans="1:8" x14ac:dyDescent="0.35">
      <c r="A124" s="5">
        <v>46288.587939814817</v>
      </c>
      <c r="B124" s="3" t="s">
        <v>10</v>
      </c>
      <c r="C124" s="4" t="s">
        <v>15</v>
      </c>
      <c r="D124" s="4" t="s">
        <v>16</v>
      </c>
      <c r="E124" s="4">
        <v>231.8</v>
      </c>
      <c r="F124" s="4">
        <v>32.299999999999997</v>
      </c>
      <c r="G124" s="4">
        <v>7.49</v>
      </c>
      <c r="H124" s="4">
        <v>2.1000000000000001E-2</v>
      </c>
    </row>
    <row r="125" spans="1:8" x14ac:dyDescent="0.35">
      <c r="A125" s="6">
        <v>46288.733668981477</v>
      </c>
      <c r="B125" s="3" t="s">
        <v>20</v>
      </c>
      <c r="C125" s="4" t="s">
        <v>17</v>
      </c>
      <c r="D125" s="4" t="s">
        <v>12</v>
      </c>
      <c r="E125" s="4">
        <v>231.2</v>
      </c>
      <c r="F125" s="4">
        <v>74.2</v>
      </c>
      <c r="G125" s="4">
        <v>17.149999999999999</v>
      </c>
      <c r="H125" s="4">
        <v>4.8000000000000001E-2</v>
      </c>
    </row>
    <row r="126" spans="1:8" x14ac:dyDescent="0.35">
      <c r="A126" s="5">
        <v>46269.643217592587</v>
      </c>
      <c r="B126" s="3" t="s">
        <v>23</v>
      </c>
      <c r="C126" s="4" t="s">
        <v>13</v>
      </c>
      <c r="D126" s="4" t="s">
        <v>12</v>
      </c>
      <c r="E126" s="4">
        <v>232</v>
      </c>
      <c r="F126" s="4">
        <v>99.4</v>
      </c>
      <c r="G126" s="4">
        <v>23.06</v>
      </c>
      <c r="H126" s="4">
        <v>6.4000000000000001E-2</v>
      </c>
    </row>
    <row r="127" spans="1:8" x14ac:dyDescent="0.35">
      <c r="A127" s="6">
        <v>46269.351759259262</v>
      </c>
      <c r="B127" s="3" t="s">
        <v>18</v>
      </c>
      <c r="C127" s="4" t="s">
        <v>17</v>
      </c>
      <c r="D127" s="4" t="s">
        <v>12</v>
      </c>
      <c r="E127" s="4">
        <v>235</v>
      </c>
      <c r="F127" s="4">
        <v>90.1</v>
      </c>
      <c r="G127" s="4">
        <v>21.17</v>
      </c>
      <c r="H127" s="4">
        <v>5.8999999999999997E-2</v>
      </c>
    </row>
    <row r="128" spans="1:8" x14ac:dyDescent="0.35">
      <c r="A128" s="5">
        <v>46292.814074074071</v>
      </c>
      <c r="B128" s="3" t="s">
        <v>21</v>
      </c>
      <c r="C128" s="4" t="s">
        <v>11</v>
      </c>
      <c r="D128" s="4" t="s">
        <v>12</v>
      </c>
      <c r="E128" s="4">
        <v>225.8</v>
      </c>
      <c r="F128" s="4">
        <v>51.3</v>
      </c>
      <c r="G128" s="4">
        <v>11.58</v>
      </c>
      <c r="H128" s="4">
        <v>3.2000000000000001E-2</v>
      </c>
    </row>
    <row r="129" spans="1:8" x14ac:dyDescent="0.35">
      <c r="A129" s="6">
        <v>46287.422106481477</v>
      </c>
      <c r="B129" s="3" t="s">
        <v>14</v>
      </c>
      <c r="C129" s="4" t="s">
        <v>13</v>
      </c>
      <c r="D129" s="4" t="s">
        <v>12</v>
      </c>
      <c r="E129" s="4">
        <v>229.5</v>
      </c>
      <c r="F129" s="4">
        <v>107.9</v>
      </c>
      <c r="G129" s="4">
        <v>24.76</v>
      </c>
      <c r="H129" s="4">
        <v>6.9000000000000006E-2</v>
      </c>
    </row>
    <row r="130" spans="1:8" x14ac:dyDescent="0.35">
      <c r="A130" s="5">
        <v>46277.804016203707</v>
      </c>
      <c r="B130" s="3" t="s">
        <v>18</v>
      </c>
      <c r="C130" s="4" t="s">
        <v>15</v>
      </c>
      <c r="D130" s="4" t="s">
        <v>16</v>
      </c>
      <c r="E130" s="4">
        <v>232.5</v>
      </c>
      <c r="F130" s="4">
        <v>24.7</v>
      </c>
      <c r="G130" s="4">
        <v>5.75</v>
      </c>
      <c r="H130" s="4">
        <v>1.6E-2</v>
      </c>
    </row>
    <row r="131" spans="1:8" x14ac:dyDescent="0.35">
      <c r="A131" s="6">
        <v>46271.68341435185</v>
      </c>
      <c r="B131" s="3" t="s">
        <v>23</v>
      </c>
      <c r="C131" s="4" t="s">
        <v>15</v>
      </c>
      <c r="D131" s="4" t="s">
        <v>16</v>
      </c>
      <c r="E131" s="4">
        <v>227</v>
      </c>
      <c r="F131" s="4">
        <v>24</v>
      </c>
      <c r="G131" s="4">
        <v>5.45</v>
      </c>
      <c r="H131" s="4">
        <v>1.4999999999999999E-2</v>
      </c>
    </row>
    <row r="132" spans="1:8" x14ac:dyDescent="0.35">
      <c r="A132" s="5">
        <v>46290.482407407413</v>
      </c>
      <c r="B132" s="3" t="s">
        <v>20</v>
      </c>
      <c r="C132" s="4" t="s">
        <v>17</v>
      </c>
      <c r="D132" s="4" t="s">
        <v>12</v>
      </c>
      <c r="E132" s="4">
        <v>234.7</v>
      </c>
      <c r="F132" s="4">
        <v>74.099999999999994</v>
      </c>
      <c r="G132" s="4">
        <v>17.38</v>
      </c>
      <c r="H132" s="4">
        <v>4.8000000000000001E-2</v>
      </c>
    </row>
    <row r="133" spans="1:8" x14ac:dyDescent="0.35">
      <c r="A133" s="6">
        <v>46272.849247685182</v>
      </c>
      <c r="B133" s="3" t="s">
        <v>24</v>
      </c>
      <c r="C133" s="4" t="s">
        <v>17</v>
      </c>
      <c r="D133" s="4" t="s">
        <v>12</v>
      </c>
      <c r="E133" s="4">
        <v>231.9</v>
      </c>
      <c r="F133" s="4">
        <v>72</v>
      </c>
      <c r="G133" s="4">
        <v>16.7</v>
      </c>
      <c r="H133" s="4">
        <v>4.5999999999999999E-2</v>
      </c>
    </row>
    <row r="134" spans="1:8" x14ac:dyDescent="0.35">
      <c r="A134" s="5">
        <v>46279.698495370372</v>
      </c>
      <c r="B134" s="3" t="s">
        <v>23</v>
      </c>
      <c r="C134" s="4" t="s">
        <v>11</v>
      </c>
      <c r="D134" s="4" t="s">
        <v>12</v>
      </c>
      <c r="E134" s="4">
        <v>233.1</v>
      </c>
      <c r="F134" s="4">
        <v>45.2</v>
      </c>
      <c r="G134" s="4">
        <v>10.53</v>
      </c>
      <c r="H134" s="4">
        <v>2.9000000000000001E-2</v>
      </c>
    </row>
    <row r="135" spans="1:8" x14ac:dyDescent="0.35">
      <c r="A135" s="6">
        <v>46288.442210648151</v>
      </c>
      <c r="B135" s="3" t="s">
        <v>23</v>
      </c>
      <c r="C135" s="4" t="s">
        <v>17</v>
      </c>
      <c r="D135" s="4" t="s">
        <v>12</v>
      </c>
      <c r="E135" s="4">
        <v>229.6</v>
      </c>
      <c r="F135" s="4">
        <v>72.400000000000006</v>
      </c>
      <c r="G135" s="4">
        <v>16.63</v>
      </c>
      <c r="H135" s="4">
        <v>4.5999999999999999E-2</v>
      </c>
    </row>
    <row r="136" spans="1:8" x14ac:dyDescent="0.35">
      <c r="A136" s="5">
        <v>46272.266331018523</v>
      </c>
      <c r="B136" s="3" t="s">
        <v>21</v>
      </c>
      <c r="C136" s="4" t="s">
        <v>13</v>
      </c>
      <c r="D136" s="4" t="s">
        <v>12</v>
      </c>
      <c r="E136" s="4">
        <v>233</v>
      </c>
      <c r="F136" s="4">
        <v>106.5</v>
      </c>
      <c r="G136" s="4">
        <v>24.81</v>
      </c>
      <c r="H136" s="4">
        <v>6.9000000000000006E-2</v>
      </c>
    </row>
    <row r="137" spans="1:8" x14ac:dyDescent="0.35">
      <c r="A137" s="6">
        <v>46286.110555555562</v>
      </c>
      <c r="B137" s="3" t="s">
        <v>26</v>
      </c>
      <c r="C137" s="4" t="s">
        <v>25</v>
      </c>
      <c r="D137" s="4" t="s">
        <v>12</v>
      </c>
      <c r="E137" s="4">
        <v>233.7</v>
      </c>
      <c r="F137" s="4">
        <v>55.4</v>
      </c>
      <c r="G137" s="4">
        <v>12.95</v>
      </c>
      <c r="H137" s="4">
        <v>3.5999999999999997E-2</v>
      </c>
    </row>
    <row r="138" spans="1:8" x14ac:dyDescent="0.35">
      <c r="A138" s="5">
        <v>46266.4371875</v>
      </c>
      <c r="B138" s="3" t="s">
        <v>23</v>
      </c>
      <c r="C138" s="4" t="s">
        <v>15</v>
      </c>
      <c r="D138" s="4" t="s">
        <v>16</v>
      </c>
      <c r="E138" s="4">
        <v>231.6</v>
      </c>
      <c r="F138" s="4">
        <v>29.3</v>
      </c>
      <c r="G138" s="4">
        <v>6.79</v>
      </c>
      <c r="H138" s="4">
        <v>1.9E-2</v>
      </c>
    </row>
    <row r="139" spans="1:8" x14ac:dyDescent="0.35">
      <c r="A139" s="6">
        <v>46281.301504629628</v>
      </c>
      <c r="B139" s="3" t="s">
        <v>14</v>
      </c>
      <c r="C139" s="4" t="s">
        <v>11</v>
      </c>
      <c r="D139" s="4" t="s">
        <v>12</v>
      </c>
      <c r="E139" s="4">
        <v>231.6</v>
      </c>
      <c r="F139" s="4">
        <v>38.1</v>
      </c>
      <c r="G139" s="4">
        <v>8.83</v>
      </c>
      <c r="H139" s="4">
        <v>2.5000000000000001E-2</v>
      </c>
    </row>
    <row r="140" spans="1:8" x14ac:dyDescent="0.35">
      <c r="A140" s="5">
        <v>46273.723622685182</v>
      </c>
      <c r="B140" s="3" t="s">
        <v>23</v>
      </c>
      <c r="C140" s="4" t="s">
        <v>25</v>
      </c>
      <c r="D140" s="4" t="s">
        <v>12</v>
      </c>
      <c r="E140" s="4">
        <v>231.7</v>
      </c>
      <c r="F140" s="4">
        <v>57.9</v>
      </c>
      <c r="G140" s="4">
        <v>13.42</v>
      </c>
      <c r="H140" s="4">
        <v>3.6999999999999998E-2</v>
      </c>
    </row>
    <row r="141" spans="1:8" x14ac:dyDescent="0.35">
      <c r="A141" s="6">
        <v>46285.381909722222</v>
      </c>
      <c r="B141" s="3" t="s">
        <v>20</v>
      </c>
      <c r="C141" s="4" t="s">
        <v>17</v>
      </c>
      <c r="D141" s="4" t="s">
        <v>12</v>
      </c>
      <c r="E141" s="4">
        <v>228.8</v>
      </c>
      <c r="F141" s="4">
        <v>90.6</v>
      </c>
      <c r="G141" s="4">
        <v>20.74</v>
      </c>
      <c r="H141" s="4">
        <v>5.8000000000000003E-2</v>
      </c>
    </row>
    <row r="142" spans="1:8" x14ac:dyDescent="0.35">
      <c r="A142" s="5">
        <v>46292.231157407397</v>
      </c>
      <c r="B142" s="3" t="s">
        <v>23</v>
      </c>
      <c r="C142" s="4" t="s">
        <v>19</v>
      </c>
      <c r="D142" s="4" t="s">
        <v>12</v>
      </c>
      <c r="E142" s="4">
        <v>230.6</v>
      </c>
      <c r="F142" s="4">
        <v>98.4</v>
      </c>
      <c r="G142" s="4">
        <v>22.7</v>
      </c>
      <c r="H142" s="4">
        <v>6.3E-2</v>
      </c>
    </row>
    <row r="143" spans="1:8" x14ac:dyDescent="0.35">
      <c r="A143" s="6">
        <v>46291.939699074072</v>
      </c>
      <c r="B143" s="3" t="s">
        <v>20</v>
      </c>
      <c r="C143" s="4" t="s">
        <v>22</v>
      </c>
      <c r="D143" s="4" t="s">
        <v>16</v>
      </c>
      <c r="E143" s="4">
        <v>230.6</v>
      </c>
      <c r="F143" s="4">
        <v>57.9</v>
      </c>
      <c r="G143" s="4">
        <v>13.35</v>
      </c>
      <c r="H143" s="4">
        <v>3.6999999999999998E-2</v>
      </c>
    </row>
    <row r="144" spans="1:8" x14ac:dyDescent="0.35">
      <c r="A144" s="5">
        <v>46292.959803240738</v>
      </c>
      <c r="B144" s="3" t="s">
        <v>18</v>
      </c>
      <c r="C144" s="4" t="s">
        <v>22</v>
      </c>
      <c r="D144" s="4" t="s">
        <v>16</v>
      </c>
      <c r="E144" s="4">
        <v>232</v>
      </c>
      <c r="F144" s="4">
        <v>57.4</v>
      </c>
      <c r="G144" s="4">
        <v>13.31</v>
      </c>
      <c r="H144" s="4">
        <v>3.6999999999999998E-2</v>
      </c>
    </row>
    <row r="145" spans="1:8" x14ac:dyDescent="0.35">
      <c r="A145" s="6">
        <v>46273.140706018523</v>
      </c>
      <c r="B145" s="3" t="s">
        <v>21</v>
      </c>
      <c r="C145" s="4" t="s">
        <v>25</v>
      </c>
      <c r="D145" s="4" t="s">
        <v>12</v>
      </c>
      <c r="E145" s="4">
        <v>233.5</v>
      </c>
      <c r="F145" s="4">
        <v>59.8</v>
      </c>
      <c r="G145" s="4">
        <v>13.96</v>
      </c>
      <c r="H145" s="4">
        <v>3.9E-2</v>
      </c>
    </row>
    <row r="146" spans="1:8" x14ac:dyDescent="0.35">
      <c r="A146" s="5">
        <v>46277.65828703704</v>
      </c>
      <c r="B146" s="3" t="s">
        <v>21</v>
      </c>
      <c r="C146" s="4" t="s">
        <v>19</v>
      </c>
      <c r="D146" s="4" t="s">
        <v>12</v>
      </c>
      <c r="E146" s="4">
        <v>228.4</v>
      </c>
      <c r="F146" s="4">
        <v>88.1</v>
      </c>
      <c r="G146" s="4">
        <v>20.13</v>
      </c>
      <c r="H146" s="4">
        <v>5.6000000000000001E-2</v>
      </c>
    </row>
    <row r="147" spans="1:8" x14ac:dyDescent="0.35">
      <c r="A147" s="6">
        <v>46270.954768518517</v>
      </c>
      <c r="B147" s="3" t="s">
        <v>10</v>
      </c>
      <c r="C147" s="4" t="s">
        <v>13</v>
      </c>
      <c r="D147" s="4" t="s">
        <v>12</v>
      </c>
      <c r="E147" s="4">
        <v>230.7</v>
      </c>
      <c r="F147" s="4">
        <v>99.6</v>
      </c>
      <c r="G147" s="4">
        <v>22.98</v>
      </c>
      <c r="H147" s="4">
        <v>6.4000000000000001E-2</v>
      </c>
    </row>
    <row r="148" spans="1:8" x14ac:dyDescent="0.35">
      <c r="A148" s="5">
        <v>46267.020104166673</v>
      </c>
      <c r="B148" s="3" t="s">
        <v>10</v>
      </c>
      <c r="C148" s="4" t="s">
        <v>11</v>
      </c>
      <c r="D148" s="4" t="s">
        <v>12</v>
      </c>
      <c r="E148" s="4">
        <v>234.7</v>
      </c>
      <c r="F148" s="4">
        <v>42</v>
      </c>
      <c r="G148" s="4">
        <v>9.86</v>
      </c>
      <c r="H148" s="4">
        <v>2.7E-2</v>
      </c>
    </row>
    <row r="149" spans="1:8" x14ac:dyDescent="0.35">
      <c r="A149" s="6">
        <v>46282.030150462961</v>
      </c>
      <c r="B149" s="3" t="s">
        <v>14</v>
      </c>
      <c r="C149" s="4" t="s">
        <v>22</v>
      </c>
      <c r="D149" s="4" t="s">
        <v>16</v>
      </c>
      <c r="E149" s="4">
        <v>229.1</v>
      </c>
      <c r="F149" s="4">
        <v>71.099999999999994</v>
      </c>
      <c r="G149" s="4">
        <v>16.3</v>
      </c>
      <c r="H149" s="4">
        <v>4.4999999999999998E-2</v>
      </c>
    </row>
    <row r="150" spans="1:8" x14ac:dyDescent="0.35">
      <c r="A150" s="5">
        <v>46279.261307870373</v>
      </c>
      <c r="B150" s="3" t="s">
        <v>18</v>
      </c>
      <c r="C150" s="4" t="s">
        <v>13</v>
      </c>
      <c r="D150" s="4" t="s">
        <v>12</v>
      </c>
      <c r="E150" s="4">
        <v>228.9</v>
      </c>
      <c r="F150" s="4">
        <v>125.9</v>
      </c>
      <c r="G150" s="4">
        <v>28.81</v>
      </c>
      <c r="H150" s="4">
        <v>0.08</v>
      </c>
    </row>
    <row r="151" spans="1:8" x14ac:dyDescent="0.35">
      <c r="A151" s="6">
        <v>46278.09547453704</v>
      </c>
      <c r="B151" s="3" t="s">
        <v>24</v>
      </c>
      <c r="C151" s="4" t="s">
        <v>11</v>
      </c>
      <c r="D151" s="4" t="s">
        <v>12</v>
      </c>
      <c r="E151" s="4">
        <v>231.5</v>
      </c>
      <c r="F151" s="4">
        <v>39.5</v>
      </c>
      <c r="G151" s="4">
        <v>9.14</v>
      </c>
      <c r="H151" s="4">
        <v>2.5000000000000001E-2</v>
      </c>
    </row>
    <row r="152" spans="1:8" x14ac:dyDescent="0.35">
      <c r="A152" s="5">
        <v>46291.648240740738</v>
      </c>
      <c r="B152" s="3" t="s">
        <v>18</v>
      </c>
      <c r="C152" s="4" t="s">
        <v>13</v>
      </c>
      <c r="D152" s="4" t="s">
        <v>12</v>
      </c>
      <c r="E152" s="4">
        <v>230.5</v>
      </c>
      <c r="F152" s="4">
        <v>126.4</v>
      </c>
      <c r="G152" s="4">
        <v>29.14</v>
      </c>
      <c r="H152" s="4">
        <v>8.1000000000000003E-2</v>
      </c>
    </row>
    <row r="153" spans="1:8" x14ac:dyDescent="0.35">
      <c r="A153" s="6">
        <v>46292.376886574071</v>
      </c>
      <c r="B153" s="3" t="s">
        <v>18</v>
      </c>
      <c r="C153" s="4" t="s">
        <v>13</v>
      </c>
      <c r="D153" s="4" t="s">
        <v>12</v>
      </c>
      <c r="E153" s="4">
        <v>232.1</v>
      </c>
      <c r="F153" s="4">
        <v>118.5</v>
      </c>
      <c r="G153" s="4">
        <v>27.5</v>
      </c>
      <c r="H153" s="4">
        <v>7.5999999999999998E-2</v>
      </c>
    </row>
    <row r="154" spans="1:8" x14ac:dyDescent="0.35">
      <c r="A154" s="5">
        <v>46278.969849537039</v>
      </c>
      <c r="B154" s="3" t="s">
        <v>21</v>
      </c>
      <c r="C154" s="4" t="s">
        <v>13</v>
      </c>
      <c r="D154" s="4" t="s">
        <v>12</v>
      </c>
      <c r="E154" s="4">
        <v>234</v>
      </c>
      <c r="F154" s="4">
        <v>105.8</v>
      </c>
      <c r="G154" s="4">
        <v>24.76</v>
      </c>
      <c r="H154" s="4">
        <v>6.9000000000000006E-2</v>
      </c>
    </row>
    <row r="155" spans="1:8" x14ac:dyDescent="0.35">
      <c r="A155" s="6">
        <v>46267.165833333333</v>
      </c>
      <c r="B155" s="3" t="s">
        <v>21</v>
      </c>
      <c r="C155" s="4" t="s">
        <v>13</v>
      </c>
      <c r="D155" s="4" t="s">
        <v>12</v>
      </c>
      <c r="E155" s="4">
        <v>232.8</v>
      </c>
      <c r="F155" s="4">
        <v>121.4</v>
      </c>
      <c r="G155" s="4">
        <v>28.26</v>
      </c>
      <c r="H155" s="4">
        <v>7.8E-2</v>
      </c>
    </row>
    <row r="156" spans="1:8" x14ac:dyDescent="0.35">
      <c r="A156" s="5">
        <v>46267.894467592603</v>
      </c>
      <c r="B156" s="3" t="s">
        <v>23</v>
      </c>
      <c r="C156" s="4" t="s">
        <v>22</v>
      </c>
      <c r="D156" s="4" t="s">
        <v>16</v>
      </c>
      <c r="E156" s="4">
        <v>230.4</v>
      </c>
      <c r="F156" s="4">
        <v>62.8</v>
      </c>
      <c r="G156" s="4">
        <v>14.47</v>
      </c>
      <c r="H156" s="4">
        <v>0.04</v>
      </c>
    </row>
    <row r="157" spans="1:8" x14ac:dyDescent="0.35">
      <c r="A157" s="6">
        <v>46274.597986111112</v>
      </c>
      <c r="B157" s="3" t="s">
        <v>26</v>
      </c>
      <c r="C157" s="4" t="s">
        <v>17</v>
      </c>
      <c r="D157" s="4" t="s">
        <v>12</v>
      </c>
      <c r="E157" s="4">
        <v>229.7</v>
      </c>
      <c r="F157" s="4">
        <v>87.7</v>
      </c>
      <c r="G157" s="4">
        <v>20.149999999999999</v>
      </c>
      <c r="H157" s="4">
        <v>5.6000000000000001E-2</v>
      </c>
    </row>
    <row r="158" spans="1:8" x14ac:dyDescent="0.35">
      <c r="A158" s="5">
        <v>46290.919594907413</v>
      </c>
      <c r="B158" s="3" t="s">
        <v>26</v>
      </c>
      <c r="C158" s="4" t="s">
        <v>13</v>
      </c>
      <c r="D158" s="4" t="s">
        <v>12</v>
      </c>
      <c r="E158" s="4">
        <v>230.5</v>
      </c>
      <c r="F158" s="4">
        <v>126.4</v>
      </c>
      <c r="G158" s="4">
        <v>29.14</v>
      </c>
      <c r="H158" s="4">
        <v>8.1000000000000003E-2</v>
      </c>
    </row>
    <row r="159" spans="1:8" x14ac:dyDescent="0.35">
      <c r="A159" s="6">
        <v>46285.090451388889</v>
      </c>
      <c r="B159" s="3" t="s">
        <v>21</v>
      </c>
      <c r="C159" s="4" t="s">
        <v>15</v>
      </c>
      <c r="D159" s="4" t="s">
        <v>16</v>
      </c>
      <c r="E159" s="4">
        <v>225.3</v>
      </c>
      <c r="F159" s="4">
        <v>30.4</v>
      </c>
      <c r="G159" s="4">
        <v>6.84</v>
      </c>
      <c r="H159" s="4">
        <v>1.9E-2</v>
      </c>
    </row>
    <row r="160" spans="1:8" x14ac:dyDescent="0.35">
      <c r="A160" s="5">
        <v>46268.477384259262</v>
      </c>
      <c r="B160" s="3" t="s">
        <v>26</v>
      </c>
      <c r="C160" s="4" t="s">
        <v>15</v>
      </c>
      <c r="D160" s="4" t="s">
        <v>16</v>
      </c>
      <c r="E160" s="4">
        <v>224.6</v>
      </c>
      <c r="F160" s="4">
        <v>24.3</v>
      </c>
      <c r="G160" s="4">
        <v>5.46</v>
      </c>
      <c r="H160" s="4">
        <v>1.4999999999999999E-2</v>
      </c>
    </row>
    <row r="161" spans="1:8" x14ac:dyDescent="0.35">
      <c r="A161" s="6">
        <v>46276.492465277777</v>
      </c>
      <c r="B161" s="3" t="s">
        <v>20</v>
      </c>
      <c r="C161" s="4" t="s">
        <v>25</v>
      </c>
      <c r="D161" s="4" t="s">
        <v>12</v>
      </c>
      <c r="E161" s="4">
        <v>230.2</v>
      </c>
      <c r="F161" s="4">
        <v>47.4</v>
      </c>
      <c r="G161" s="4">
        <v>10.92</v>
      </c>
      <c r="H161" s="4">
        <v>0.03</v>
      </c>
    </row>
    <row r="162" spans="1:8" x14ac:dyDescent="0.35">
      <c r="A162" s="5">
        <v>46291.502511574072</v>
      </c>
      <c r="B162" s="3" t="s">
        <v>10</v>
      </c>
      <c r="C162" s="4" t="s">
        <v>11</v>
      </c>
      <c r="D162" s="4" t="s">
        <v>12</v>
      </c>
      <c r="E162" s="4">
        <v>228</v>
      </c>
      <c r="F162" s="4">
        <v>39.4</v>
      </c>
      <c r="G162" s="4">
        <v>8.98</v>
      </c>
      <c r="H162" s="4">
        <v>2.5000000000000001E-2</v>
      </c>
    </row>
    <row r="163" spans="1:8" x14ac:dyDescent="0.35">
      <c r="A163" s="6">
        <v>46285.527638888889</v>
      </c>
      <c r="B163" s="3" t="s">
        <v>23</v>
      </c>
      <c r="C163" s="4" t="s">
        <v>11</v>
      </c>
      <c r="D163" s="4" t="s">
        <v>12</v>
      </c>
      <c r="E163" s="4">
        <v>233.5</v>
      </c>
      <c r="F163" s="4">
        <v>37.299999999999997</v>
      </c>
      <c r="G163" s="4">
        <v>8.6999999999999993</v>
      </c>
      <c r="H163" s="4">
        <v>2.4E-2</v>
      </c>
    </row>
    <row r="164" spans="1:8" x14ac:dyDescent="0.35">
      <c r="A164" s="5">
        <v>46290.336678240739</v>
      </c>
      <c r="B164" s="3" t="s">
        <v>10</v>
      </c>
      <c r="C164" s="4" t="s">
        <v>11</v>
      </c>
      <c r="D164" s="4" t="s">
        <v>12</v>
      </c>
      <c r="E164" s="4">
        <v>233.9</v>
      </c>
      <c r="F164" s="4">
        <v>48.3</v>
      </c>
      <c r="G164" s="4">
        <v>11.3</v>
      </c>
      <c r="H164" s="4">
        <v>3.1E-2</v>
      </c>
    </row>
    <row r="165" spans="1:8" x14ac:dyDescent="0.35">
      <c r="A165" s="6">
        <v>46292.668344907397</v>
      </c>
      <c r="B165" s="3" t="s">
        <v>10</v>
      </c>
      <c r="C165" s="4" t="s">
        <v>17</v>
      </c>
      <c r="D165" s="4" t="s">
        <v>12</v>
      </c>
      <c r="E165" s="4">
        <v>234.7</v>
      </c>
      <c r="F165" s="4">
        <v>74.099999999999994</v>
      </c>
      <c r="G165" s="4">
        <v>17.38</v>
      </c>
      <c r="H165" s="4">
        <v>4.8000000000000001E-2</v>
      </c>
    </row>
    <row r="166" spans="1:8" x14ac:dyDescent="0.35">
      <c r="A166" s="5">
        <v>46275.180902777778</v>
      </c>
      <c r="B166" s="3" t="s">
        <v>24</v>
      </c>
      <c r="C166" s="4" t="s">
        <v>11</v>
      </c>
      <c r="D166" s="4" t="s">
        <v>12</v>
      </c>
      <c r="E166" s="4">
        <v>231.5</v>
      </c>
      <c r="F166" s="4">
        <v>39.5</v>
      </c>
      <c r="G166" s="4">
        <v>9.14</v>
      </c>
      <c r="H166" s="4">
        <v>2.5000000000000001E-2</v>
      </c>
    </row>
    <row r="167" spans="1:8" x14ac:dyDescent="0.35">
      <c r="A167" s="6">
        <v>46273.869351851848</v>
      </c>
      <c r="B167" s="3" t="s">
        <v>20</v>
      </c>
      <c r="C167" s="4" t="s">
        <v>25</v>
      </c>
      <c r="D167" s="4" t="s">
        <v>12</v>
      </c>
      <c r="E167" s="4">
        <v>231.8</v>
      </c>
      <c r="F167" s="4">
        <v>45.5</v>
      </c>
      <c r="G167" s="4">
        <v>10.55</v>
      </c>
      <c r="H167" s="4">
        <v>2.9000000000000001E-2</v>
      </c>
    </row>
    <row r="168" spans="1:8" x14ac:dyDescent="0.35">
      <c r="A168" s="5">
        <v>46281.592962962961</v>
      </c>
      <c r="B168" s="3" t="s">
        <v>14</v>
      </c>
      <c r="C168" s="4" t="s">
        <v>13</v>
      </c>
      <c r="D168" s="4" t="s">
        <v>12</v>
      </c>
      <c r="E168" s="4">
        <v>230.4</v>
      </c>
      <c r="F168" s="4">
        <v>99.4</v>
      </c>
      <c r="G168" s="4">
        <v>22.91</v>
      </c>
      <c r="H168" s="4">
        <v>6.4000000000000001E-2</v>
      </c>
    </row>
    <row r="169" spans="1:8" x14ac:dyDescent="0.35">
      <c r="A169" s="6">
        <v>46273.286435185182</v>
      </c>
      <c r="B169" s="3" t="s">
        <v>26</v>
      </c>
      <c r="C169" s="4" t="s">
        <v>25</v>
      </c>
      <c r="D169" s="4" t="s">
        <v>12</v>
      </c>
      <c r="E169" s="4">
        <v>230.2</v>
      </c>
      <c r="F169" s="4">
        <v>47.4</v>
      </c>
      <c r="G169" s="4">
        <v>10.92</v>
      </c>
      <c r="H169" s="4">
        <v>0.03</v>
      </c>
    </row>
    <row r="170" spans="1:8" x14ac:dyDescent="0.35">
      <c r="A170" s="5">
        <v>46294.5628125</v>
      </c>
      <c r="B170" s="3" t="s">
        <v>20</v>
      </c>
      <c r="C170" s="4" t="s">
        <v>13</v>
      </c>
      <c r="D170" s="4" t="s">
        <v>12</v>
      </c>
      <c r="E170" s="4">
        <v>232.1</v>
      </c>
      <c r="F170" s="4">
        <v>99.2</v>
      </c>
      <c r="G170" s="4">
        <v>23.02</v>
      </c>
      <c r="H170" s="4">
        <v>6.4000000000000001E-2</v>
      </c>
    </row>
    <row r="171" spans="1:8" x14ac:dyDescent="0.35">
      <c r="A171" s="6">
        <v>46274.452256944453</v>
      </c>
      <c r="B171" s="3" t="s">
        <v>20</v>
      </c>
      <c r="C171" s="4" t="s">
        <v>15</v>
      </c>
      <c r="D171" s="4" t="s">
        <v>16</v>
      </c>
      <c r="E171" s="4">
        <v>227</v>
      </c>
      <c r="F171" s="4">
        <v>24</v>
      </c>
      <c r="G171" s="4">
        <v>5.45</v>
      </c>
      <c r="H171" s="4">
        <v>1.4999999999999999E-2</v>
      </c>
    </row>
    <row r="172" spans="1:8" x14ac:dyDescent="0.35">
      <c r="A172" s="5">
        <v>46272.994976851849</v>
      </c>
      <c r="B172" s="3" t="s">
        <v>20</v>
      </c>
      <c r="C172" s="4" t="s">
        <v>17</v>
      </c>
      <c r="D172" s="4" t="s">
        <v>12</v>
      </c>
      <c r="E172" s="4">
        <v>229.7</v>
      </c>
      <c r="F172" s="4">
        <v>87.7</v>
      </c>
      <c r="G172" s="4">
        <v>20.149999999999999</v>
      </c>
      <c r="H172" s="4">
        <v>5.6000000000000001E-2</v>
      </c>
    </row>
    <row r="173" spans="1:8" x14ac:dyDescent="0.35">
      <c r="A173" s="6">
        <v>46278.824120370373</v>
      </c>
      <c r="B173" s="3" t="s">
        <v>26</v>
      </c>
      <c r="C173" s="4" t="s">
        <v>22</v>
      </c>
      <c r="D173" s="4" t="s">
        <v>16</v>
      </c>
      <c r="E173" s="4">
        <v>229.1</v>
      </c>
      <c r="F173" s="4">
        <v>69.2</v>
      </c>
      <c r="G173" s="4">
        <v>15.85</v>
      </c>
      <c r="H173" s="4">
        <v>4.3999999999999997E-2</v>
      </c>
    </row>
    <row r="174" spans="1:8" x14ac:dyDescent="0.35">
      <c r="A174" s="5">
        <v>46269.060300925928</v>
      </c>
      <c r="B174" s="3" t="s">
        <v>21</v>
      </c>
      <c r="C174" s="4" t="s">
        <v>25</v>
      </c>
      <c r="D174" s="4" t="s">
        <v>12</v>
      </c>
      <c r="E174" s="4">
        <v>228.8</v>
      </c>
      <c r="F174" s="4">
        <v>50.3</v>
      </c>
      <c r="G174" s="4">
        <v>11.5</v>
      </c>
      <c r="H174" s="4">
        <v>3.2000000000000001E-2</v>
      </c>
    </row>
    <row r="175" spans="1:8" x14ac:dyDescent="0.35">
      <c r="A175" s="6">
        <v>46274.306527777779</v>
      </c>
      <c r="B175" s="3" t="s">
        <v>10</v>
      </c>
      <c r="C175" s="4" t="s">
        <v>13</v>
      </c>
      <c r="D175" s="4" t="s">
        <v>12</v>
      </c>
      <c r="E175" s="4">
        <v>234.3</v>
      </c>
      <c r="F175" s="4">
        <v>88</v>
      </c>
      <c r="G175" s="4">
        <v>20.63</v>
      </c>
      <c r="H175" s="4">
        <v>5.7000000000000002E-2</v>
      </c>
    </row>
    <row r="176" spans="1:8" x14ac:dyDescent="0.35">
      <c r="A176" s="5">
        <v>46289.31658564815</v>
      </c>
      <c r="B176" s="3" t="s">
        <v>20</v>
      </c>
      <c r="C176" s="4" t="s">
        <v>15</v>
      </c>
      <c r="D176" s="4" t="s">
        <v>16</v>
      </c>
      <c r="E176" s="4">
        <v>231.9</v>
      </c>
      <c r="F176" s="4">
        <v>27.6</v>
      </c>
      <c r="G176" s="4">
        <v>6.4</v>
      </c>
      <c r="H176" s="4">
        <v>1.7999999999999999E-2</v>
      </c>
    </row>
    <row r="177" spans="1:8" x14ac:dyDescent="0.35">
      <c r="A177" s="6">
        <v>46293.979895833327</v>
      </c>
      <c r="B177" s="3" t="s">
        <v>21</v>
      </c>
      <c r="C177" s="4" t="s">
        <v>13</v>
      </c>
      <c r="D177" s="4" t="s">
        <v>12</v>
      </c>
      <c r="E177" s="4">
        <v>228.2</v>
      </c>
      <c r="F177" s="4">
        <v>102.5</v>
      </c>
      <c r="G177" s="4">
        <v>23.39</v>
      </c>
      <c r="H177" s="4">
        <v>6.5000000000000002E-2</v>
      </c>
    </row>
    <row r="178" spans="1:8" x14ac:dyDescent="0.35">
      <c r="A178" s="5">
        <v>46284.798993055563</v>
      </c>
      <c r="B178" s="3" t="s">
        <v>23</v>
      </c>
      <c r="C178" s="4" t="s">
        <v>13</v>
      </c>
      <c r="D178" s="4" t="s">
        <v>12</v>
      </c>
      <c r="E178" s="4">
        <v>234</v>
      </c>
      <c r="F178" s="4">
        <v>105.8</v>
      </c>
      <c r="G178" s="4">
        <v>24.76</v>
      </c>
      <c r="H178" s="4">
        <v>6.9000000000000006E-2</v>
      </c>
    </row>
    <row r="179" spans="1:8" x14ac:dyDescent="0.35">
      <c r="A179" s="6">
        <v>46271.391956018517</v>
      </c>
      <c r="B179" s="3" t="s">
        <v>14</v>
      </c>
      <c r="C179" s="4" t="s">
        <v>13</v>
      </c>
      <c r="D179" s="4" t="s">
        <v>12</v>
      </c>
      <c r="E179" s="4">
        <v>231</v>
      </c>
      <c r="F179" s="4">
        <v>106.9</v>
      </c>
      <c r="G179" s="4">
        <v>24.7</v>
      </c>
      <c r="H179" s="4">
        <v>6.9000000000000006E-2</v>
      </c>
    </row>
    <row r="180" spans="1:8" x14ac:dyDescent="0.35">
      <c r="A180" s="5">
        <v>46288.87939814815</v>
      </c>
      <c r="B180" s="3" t="s">
        <v>18</v>
      </c>
      <c r="C180" s="4" t="s">
        <v>15</v>
      </c>
      <c r="D180" s="4" t="s">
        <v>16</v>
      </c>
      <c r="E180" s="4">
        <v>227.1</v>
      </c>
      <c r="F180" s="4">
        <v>29.2</v>
      </c>
      <c r="G180" s="4">
        <v>6.64</v>
      </c>
      <c r="H180" s="4">
        <v>1.7999999999999999E-2</v>
      </c>
    </row>
    <row r="181" spans="1:8" x14ac:dyDescent="0.35">
      <c r="A181" s="6">
        <v>46294.125625000001</v>
      </c>
      <c r="B181" s="3" t="s">
        <v>18</v>
      </c>
      <c r="C181" s="4" t="s">
        <v>17</v>
      </c>
      <c r="D181" s="4" t="s">
        <v>12</v>
      </c>
      <c r="E181" s="4">
        <v>236.2</v>
      </c>
      <c r="F181" s="4">
        <v>84.1</v>
      </c>
      <c r="G181" s="4">
        <v>19.86</v>
      </c>
      <c r="H181" s="4">
        <v>5.5E-2</v>
      </c>
    </row>
    <row r="182" spans="1:8" x14ac:dyDescent="0.35">
      <c r="A182" s="5">
        <v>46266.145729166667</v>
      </c>
      <c r="B182" s="3" t="s">
        <v>26</v>
      </c>
      <c r="C182" s="4" t="s">
        <v>19</v>
      </c>
      <c r="D182" s="4" t="s">
        <v>12</v>
      </c>
      <c r="E182" s="4">
        <v>233.3</v>
      </c>
      <c r="F182" s="4">
        <v>98.7</v>
      </c>
      <c r="G182" s="4">
        <v>23.03</v>
      </c>
      <c r="H182" s="4">
        <v>6.4000000000000001E-2</v>
      </c>
    </row>
    <row r="183" spans="1:8" x14ac:dyDescent="0.35">
      <c r="A183" s="6">
        <v>46273.577893518523</v>
      </c>
      <c r="B183" s="3" t="s">
        <v>20</v>
      </c>
      <c r="C183" s="4" t="s">
        <v>17</v>
      </c>
      <c r="D183" s="4" t="s">
        <v>12</v>
      </c>
      <c r="E183" s="4">
        <v>234.7</v>
      </c>
      <c r="F183" s="4">
        <v>74.099999999999994</v>
      </c>
      <c r="G183" s="4">
        <v>17.38</v>
      </c>
      <c r="H183" s="4">
        <v>4.8000000000000001E-2</v>
      </c>
    </row>
    <row r="184" spans="1:8" x14ac:dyDescent="0.35">
      <c r="A184" s="5">
        <v>46287.713564814818</v>
      </c>
      <c r="B184" s="3" t="s">
        <v>26</v>
      </c>
      <c r="C184" s="4" t="s">
        <v>13</v>
      </c>
      <c r="D184" s="4" t="s">
        <v>12</v>
      </c>
      <c r="E184" s="4">
        <v>231</v>
      </c>
      <c r="F184" s="4">
        <v>106.9</v>
      </c>
      <c r="G184" s="4">
        <v>24.7</v>
      </c>
      <c r="H184" s="4">
        <v>6.9000000000000006E-2</v>
      </c>
    </row>
    <row r="185" spans="1:8" x14ac:dyDescent="0.35">
      <c r="A185" s="6">
        <v>46284.944722222222</v>
      </c>
      <c r="B185" s="3" t="s">
        <v>20</v>
      </c>
      <c r="C185" s="4" t="s">
        <v>13</v>
      </c>
      <c r="D185" s="4" t="s">
        <v>12</v>
      </c>
      <c r="E185" s="4">
        <v>233</v>
      </c>
      <c r="F185" s="4">
        <v>106.5</v>
      </c>
      <c r="G185" s="4">
        <v>24.81</v>
      </c>
      <c r="H185" s="4">
        <v>6.9000000000000006E-2</v>
      </c>
    </row>
    <row r="186" spans="1:8" x14ac:dyDescent="0.35">
      <c r="A186" s="5">
        <v>46288.005023148151</v>
      </c>
      <c r="B186" s="3" t="s">
        <v>24</v>
      </c>
      <c r="C186" s="4" t="s">
        <v>17</v>
      </c>
      <c r="D186" s="4" t="s">
        <v>12</v>
      </c>
      <c r="E186" s="4">
        <v>229.7</v>
      </c>
      <c r="F186" s="4">
        <v>87.7</v>
      </c>
      <c r="G186" s="4">
        <v>20.149999999999999</v>
      </c>
      <c r="H186" s="4">
        <v>5.6000000000000001E-2</v>
      </c>
    </row>
    <row r="187" spans="1:8" x14ac:dyDescent="0.35">
      <c r="A187" s="6">
        <v>46281.010046296287</v>
      </c>
      <c r="B187" s="3" t="s">
        <v>14</v>
      </c>
      <c r="C187" s="4" t="s">
        <v>17</v>
      </c>
      <c r="D187" s="4" t="s">
        <v>12</v>
      </c>
      <c r="E187" s="4">
        <v>231.4</v>
      </c>
      <c r="F187" s="4">
        <v>83.8</v>
      </c>
      <c r="G187" s="4">
        <v>19.39</v>
      </c>
      <c r="H187" s="4">
        <v>5.3999999999999999E-2</v>
      </c>
    </row>
    <row r="188" spans="1:8" x14ac:dyDescent="0.35">
      <c r="A188" s="5">
        <v>46280.427141203712</v>
      </c>
      <c r="B188" s="3" t="s">
        <v>18</v>
      </c>
      <c r="C188" s="4" t="s">
        <v>11</v>
      </c>
      <c r="D188" s="4" t="s">
        <v>12</v>
      </c>
      <c r="E188" s="4">
        <v>225.6</v>
      </c>
      <c r="F188" s="4">
        <v>43</v>
      </c>
      <c r="G188" s="4">
        <v>9.7100000000000009</v>
      </c>
      <c r="H188" s="4">
        <v>2.7E-2</v>
      </c>
    </row>
    <row r="189" spans="1:8" x14ac:dyDescent="0.35">
      <c r="A189" s="6">
        <v>46282.90452546296</v>
      </c>
      <c r="B189" s="3" t="s">
        <v>20</v>
      </c>
      <c r="C189" s="4" t="s">
        <v>17</v>
      </c>
      <c r="D189" s="4" t="s">
        <v>12</v>
      </c>
      <c r="E189" s="4">
        <v>231.9</v>
      </c>
      <c r="F189" s="4">
        <v>72</v>
      </c>
      <c r="G189" s="4">
        <v>16.7</v>
      </c>
      <c r="H189" s="4">
        <v>4.5999999999999999E-2</v>
      </c>
    </row>
    <row r="190" spans="1:8" x14ac:dyDescent="0.35">
      <c r="A190" s="5">
        <v>46278.678391203714</v>
      </c>
      <c r="B190" s="3" t="s">
        <v>14</v>
      </c>
      <c r="C190" s="4" t="s">
        <v>13</v>
      </c>
      <c r="D190" s="4" t="s">
        <v>12</v>
      </c>
      <c r="E190" s="4">
        <v>234.3</v>
      </c>
      <c r="F190" s="4">
        <v>88</v>
      </c>
      <c r="G190" s="4">
        <v>20.63</v>
      </c>
      <c r="H190" s="4">
        <v>5.7000000000000002E-2</v>
      </c>
    </row>
    <row r="191" spans="1:8" x14ac:dyDescent="0.35">
      <c r="A191" s="6">
        <v>46276.78392361111</v>
      </c>
      <c r="B191" s="3" t="s">
        <v>23</v>
      </c>
      <c r="C191" s="4" t="s">
        <v>15</v>
      </c>
      <c r="D191" s="4" t="s">
        <v>16</v>
      </c>
      <c r="E191" s="4">
        <v>234</v>
      </c>
      <c r="F191" s="4">
        <v>29.1</v>
      </c>
      <c r="G191" s="4">
        <v>6.82</v>
      </c>
      <c r="H191" s="4">
        <v>1.9E-2</v>
      </c>
    </row>
    <row r="192" spans="1:8" x14ac:dyDescent="0.35">
      <c r="A192" s="5">
        <v>46283.633171296293</v>
      </c>
      <c r="B192" s="3" t="s">
        <v>23</v>
      </c>
      <c r="C192" s="4" t="s">
        <v>13</v>
      </c>
      <c r="D192" s="4" t="s">
        <v>12</v>
      </c>
      <c r="E192" s="4">
        <v>231.8</v>
      </c>
      <c r="F192" s="4">
        <v>93.7</v>
      </c>
      <c r="G192" s="4">
        <v>21.73</v>
      </c>
      <c r="H192" s="4">
        <v>0.06</v>
      </c>
    </row>
    <row r="193" spans="1:8" x14ac:dyDescent="0.35">
      <c r="A193" s="6">
        <v>46295</v>
      </c>
      <c r="B193" s="3" t="s">
        <v>18</v>
      </c>
      <c r="C193" s="4" t="s">
        <v>22</v>
      </c>
      <c r="D193" s="4" t="s">
        <v>16</v>
      </c>
      <c r="E193" s="4">
        <v>235.7</v>
      </c>
      <c r="F193" s="4">
        <v>57.5</v>
      </c>
      <c r="G193" s="4">
        <v>13.55</v>
      </c>
      <c r="H193" s="4">
        <v>3.7999999999999999E-2</v>
      </c>
    </row>
    <row r="194" spans="1:8" x14ac:dyDescent="0.35">
      <c r="A194" s="5">
        <v>46268.914571759262</v>
      </c>
      <c r="B194" s="3" t="s">
        <v>18</v>
      </c>
      <c r="C194" s="4" t="s">
        <v>13</v>
      </c>
      <c r="D194" s="4" t="s">
        <v>12</v>
      </c>
      <c r="E194" s="4">
        <v>232.5</v>
      </c>
      <c r="F194" s="4">
        <v>108.6</v>
      </c>
      <c r="G194" s="4">
        <v>25.24</v>
      </c>
      <c r="H194" s="4">
        <v>7.0000000000000007E-2</v>
      </c>
    </row>
    <row r="195" spans="1:8" x14ac:dyDescent="0.35">
      <c r="A195" s="6">
        <v>46293.396979166668</v>
      </c>
      <c r="B195" s="3" t="s">
        <v>14</v>
      </c>
      <c r="C195" s="4" t="s">
        <v>25</v>
      </c>
      <c r="D195" s="4" t="s">
        <v>12</v>
      </c>
      <c r="E195" s="4">
        <v>231.8</v>
      </c>
      <c r="F195" s="4">
        <v>45.5</v>
      </c>
      <c r="G195" s="4">
        <v>10.55</v>
      </c>
      <c r="H195" s="4">
        <v>2.9000000000000001E-2</v>
      </c>
    </row>
    <row r="196" spans="1:8" x14ac:dyDescent="0.35">
      <c r="A196" s="5">
        <v>46276.346736111111</v>
      </c>
      <c r="B196" s="3" t="s">
        <v>20</v>
      </c>
      <c r="C196" s="4" t="s">
        <v>15</v>
      </c>
      <c r="D196" s="4" t="s">
        <v>16</v>
      </c>
      <c r="E196" s="4">
        <v>227</v>
      </c>
      <c r="F196" s="4">
        <v>24</v>
      </c>
      <c r="G196" s="4">
        <v>5.45</v>
      </c>
      <c r="H196" s="4">
        <v>1.4999999999999999E-2</v>
      </c>
    </row>
    <row r="197" spans="1:8" x14ac:dyDescent="0.35">
      <c r="A197" s="6">
        <v>46281.447233796287</v>
      </c>
      <c r="B197" s="3" t="s">
        <v>26</v>
      </c>
      <c r="C197" s="4" t="s">
        <v>13</v>
      </c>
      <c r="D197" s="4" t="s">
        <v>12</v>
      </c>
      <c r="E197" s="4">
        <v>233.2</v>
      </c>
      <c r="F197" s="4">
        <v>114.8</v>
      </c>
      <c r="G197" s="4">
        <v>26.77</v>
      </c>
      <c r="H197" s="4">
        <v>7.3999999999999996E-2</v>
      </c>
    </row>
    <row r="198" spans="1:8" x14ac:dyDescent="0.35">
      <c r="A198" s="5">
        <v>46268.040196759262</v>
      </c>
      <c r="B198" s="3" t="s">
        <v>20</v>
      </c>
      <c r="C198" s="4" t="s">
        <v>13</v>
      </c>
      <c r="D198" s="4" t="s">
        <v>12</v>
      </c>
      <c r="E198" s="4">
        <v>233.9</v>
      </c>
      <c r="F198" s="4">
        <v>118.4</v>
      </c>
      <c r="G198" s="4">
        <v>27.69</v>
      </c>
      <c r="H198" s="4">
        <v>7.6999999999999999E-2</v>
      </c>
    </row>
    <row r="199" spans="1:8" x14ac:dyDescent="0.35">
      <c r="A199" s="6">
        <v>46279.407037037039</v>
      </c>
      <c r="B199" s="3" t="s">
        <v>26</v>
      </c>
      <c r="C199" s="4" t="s">
        <v>22</v>
      </c>
      <c r="D199" s="4" t="s">
        <v>16</v>
      </c>
      <c r="E199" s="4">
        <v>229.7</v>
      </c>
      <c r="F199" s="4">
        <v>71</v>
      </c>
      <c r="G199" s="4">
        <v>16.3</v>
      </c>
      <c r="H199" s="4">
        <v>4.4999999999999998E-2</v>
      </c>
    </row>
    <row r="200" spans="1:8" x14ac:dyDescent="0.35">
      <c r="A200" s="5">
        <v>46292.085428240738</v>
      </c>
      <c r="B200" s="3" t="s">
        <v>24</v>
      </c>
      <c r="C200" s="4" t="s">
        <v>15</v>
      </c>
      <c r="D200" s="4" t="s">
        <v>16</v>
      </c>
      <c r="E200" s="4">
        <v>237.3</v>
      </c>
      <c r="F200" s="4">
        <v>31</v>
      </c>
      <c r="G200" s="4">
        <v>7.35</v>
      </c>
      <c r="H200" s="4">
        <v>0.02</v>
      </c>
    </row>
    <row r="201" spans="1:8" x14ac:dyDescent="0.35">
      <c r="A201" s="6">
        <v>46280.864317129628</v>
      </c>
      <c r="B201" s="3" t="s">
        <v>10</v>
      </c>
      <c r="C201" s="4" t="s">
        <v>19</v>
      </c>
      <c r="D201" s="4" t="s">
        <v>12</v>
      </c>
      <c r="E201" s="4">
        <v>228.5</v>
      </c>
      <c r="F201" s="4">
        <v>104.7</v>
      </c>
      <c r="G201" s="4">
        <v>23.93</v>
      </c>
      <c r="H201" s="4">
        <v>6.6000000000000003E-2</v>
      </c>
    </row>
    <row r="203" spans="1:8" x14ac:dyDescent="0.35">
      <c r="E203" s="4">
        <f>AVERAGE(E2:E201)</f>
        <v>231.12549999999993</v>
      </c>
      <c r="F203" s="4">
        <f>AVERAGE(F2:F201)</f>
        <v>71.609999999999985</v>
      </c>
      <c r="G203" s="4">
        <f>AVERAGE(G2:G201)</f>
        <v>16.562650000000005</v>
      </c>
      <c r="H203" s="4">
        <f>SUM(H2:H201)</f>
        <v>9.1950000000000056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DA22-97ED-4536-B4D6-D2A035180446}">
  <dimension ref="A3:B12"/>
  <sheetViews>
    <sheetView workbookViewId="0">
      <selection activeCell="A9" sqref="B9"/>
    </sheetView>
  </sheetViews>
  <sheetFormatPr defaultRowHeight="14.5" x14ac:dyDescent="0.35"/>
  <cols>
    <col min="1" max="1" width="23.1796875" bestFit="1" customWidth="1"/>
    <col min="2" max="2" width="19.7265625" bestFit="1" customWidth="1"/>
  </cols>
  <sheetData>
    <row r="3" spans="1:2" x14ac:dyDescent="0.35">
      <c r="A3" s="1" t="s">
        <v>27</v>
      </c>
      <c r="B3" t="s">
        <v>1</v>
      </c>
    </row>
    <row r="4" spans="1:2" x14ac:dyDescent="0.35">
      <c r="A4" s="2" t="s">
        <v>20</v>
      </c>
      <c r="B4" s="10">
        <v>68.032258064516128</v>
      </c>
    </row>
    <row r="5" spans="1:2" x14ac:dyDescent="0.35">
      <c r="A5" s="2" t="s">
        <v>21</v>
      </c>
      <c r="B5" s="10">
        <v>76.557894736842101</v>
      </c>
    </row>
    <row r="6" spans="1:2" x14ac:dyDescent="0.35">
      <c r="A6" s="2" t="s">
        <v>26</v>
      </c>
      <c r="B6" s="10">
        <v>73.13333333333334</v>
      </c>
    </row>
    <row r="7" spans="1:2" x14ac:dyDescent="0.35">
      <c r="A7" s="2" t="s">
        <v>18</v>
      </c>
      <c r="B7" s="10">
        <v>73.540909090909082</v>
      </c>
    </row>
    <row r="8" spans="1:2" x14ac:dyDescent="0.35">
      <c r="A8" s="2" t="s">
        <v>23</v>
      </c>
      <c r="B8" s="10">
        <v>67.361290322580643</v>
      </c>
    </row>
    <row r="9" spans="1:2" x14ac:dyDescent="0.35">
      <c r="A9" s="2" t="s">
        <v>14</v>
      </c>
      <c r="B9" s="10">
        <v>70.02000000000001</v>
      </c>
    </row>
    <row r="10" spans="1:2" x14ac:dyDescent="0.35">
      <c r="A10" s="2" t="s">
        <v>10</v>
      </c>
      <c r="B10" s="10">
        <v>71.586666666666659</v>
      </c>
    </row>
    <row r="11" spans="1:2" x14ac:dyDescent="0.35">
      <c r="A11" s="2" t="s">
        <v>24</v>
      </c>
      <c r="B11" s="10">
        <v>76.047826086956533</v>
      </c>
    </row>
    <row r="12" spans="1:2" x14ac:dyDescent="0.35">
      <c r="A12" s="2" t="s">
        <v>28</v>
      </c>
      <c r="B12" s="10">
        <v>71.609999999999943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1077-DC19-4B2C-93E8-9F3EF4DD7669}">
  <dimension ref="A3:B12"/>
  <sheetViews>
    <sheetView workbookViewId="0">
      <selection activeCell="B9" sqref="B9"/>
    </sheetView>
  </sheetViews>
  <sheetFormatPr defaultRowHeight="14.5" x14ac:dyDescent="0.35"/>
  <cols>
    <col min="1" max="1" width="23.1796875" bestFit="1" customWidth="1"/>
    <col min="2" max="2" width="30.54296875" bestFit="1" customWidth="1"/>
  </cols>
  <sheetData>
    <row r="3" spans="1:2" x14ac:dyDescent="0.35">
      <c r="A3" s="1" t="s">
        <v>27</v>
      </c>
      <c r="B3" t="s">
        <v>0</v>
      </c>
    </row>
    <row r="4" spans="1:2" x14ac:dyDescent="0.35">
      <c r="A4" s="2" t="s">
        <v>20</v>
      </c>
      <c r="B4" s="10">
        <v>1.3530000000000002</v>
      </c>
    </row>
    <row r="5" spans="1:2" x14ac:dyDescent="0.35">
      <c r="A5" s="2" t="s">
        <v>21</v>
      </c>
      <c r="B5" s="10">
        <v>0.93600000000000017</v>
      </c>
    </row>
    <row r="6" spans="1:2" x14ac:dyDescent="0.35">
      <c r="A6" s="2" t="s">
        <v>26</v>
      </c>
      <c r="B6" s="10">
        <v>1.1260000000000001</v>
      </c>
    </row>
    <row r="7" spans="1:2" x14ac:dyDescent="0.35">
      <c r="A7" s="2" t="s">
        <v>18</v>
      </c>
      <c r="B7" s="10">
        <v>1.0390000000000001</v>
      </c>
    </row>
    <row r="8" spans="1:2" x14ac:dyDescent="0.35">
      <c r="A8" s="2" t="s">
        <v>23</v>
      </c>
      <c r="B8" s="10">
        <v>1.3370000000000002</v>
      </c>
    </row>
    <row r="9" spans="1:2" x14ac:dyDescent="0.35">
      <c r="A9" s="2" t="s">
        <v>14</v>
      </c>
      <c r="B9" s="10">
        <v>0.89900000000000024</v>
      </c>
    </row>
    <row r="10" spans="1:2" x14ac:dyDescent="0.35">
      <c r="A10" s="2" t="s">
        <v>10</v>
      </c>
      <c r="B10" s="10">
        <v>1.385</v>
      </c>
    </row>
    <row r="11" spans="1:2" x14ac:dyDescent="0.35">
      <c r="A11" s="2" t="s">
        <v>24</v>
      </c>
      <c r="B11" s="10">
        <v>1.1200000000000001</v>
      </c>
    </row>
    <row r="12" spans="1:2" x14ac:dyDescent="0.35">
      <c r="A12" s="2" t="s">
        <v>28</v>
      </c>
      <c r="B12" s="10">
        <v>9.1950000000000003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911A-4972-46B0-A246-923322833DD4}">
  <dimension ref="A3:B11"/>
  <sheetViews>
    <sheetView workbookViewId="0">
      <selection activeCell="A9" sqref="B9"/>
    </sheetView>
  </sheetViews>
  <sheetFormatPr defaultRowHeight="14.5" x14ac:dyDescent="0.35"/>
  <cols>
    <col min="1" max="1" width="16.36328125" bestFit="1" customWidth="1"/>
    <col min="2" max="2" width="30.54296875" bestFit="1" customWidth="1"/>
  </cols>
  <sheetData>
    <row r="3" spans="1:2" x14ac:dyDescent="0.35">
      <c r="A3" s="1" t="s">
        <v>27</v>
      </c>
      <c r="B3" t="s">
        <v>0</v>
      </c>
    </row>
    <row r="4" spans="1:2" x14ac:dyDescent="0.35">
      <c r="A4" s="2" t="s">
        <v>13</v>
      </c>
      <c r="B4" s="10">
        <v>3.3879999999999995</v>
      </c>
    </row>
    <row r="5" spans="1:2" x14ac:dyDescent="0.35">
      <c r="A5" s="2" t="s">
        <v>17</v>
      </c>
      <c r="B5" s="10">
        <v>2.125</v>
      </c>
    </row>
    <row r="6" spans="1:2" x14ac:dyDescent="0.35">
      <c r="A6" s="2" t="s">
        <v>19</v>
      </c>
      <c r="B6" s="10">
        <v>0.95100000000000029</v>
      </c>
    </row>
    <row r="7" spans="1:2" x14ac:dyDescent="0.35">
      <c r="A7" s="2" t="s">
        <v>11</v>
      </c>
      <c r="B7" s="10">
        <v>0.69200000000000039</v>
      </c>
    </row>
    <row r="8" spans="1:2" x14ac:dyDescent="0.35">
      <c r="A8" s="2" t="s">
        <v>25</v>
      </c>
      <c r="B8" s="10">
        <v>0.65600000000000014</v>
      </c>
    </row>
    <row r="9" spans="1:2" x14ac:dyDescent="0.35">
      <c r="A9" s="2" t="s">
        <v>15</v>
      </c>
      <c r="B9" s="10">
        <v>0.50500000000000023</v>
      </c>
    </row>
    <row r="10" spans="1:2" x14ac:dyDescent="0.35">
      <c r="A10" s="2" t="s">
        <v>22</v>
      </c>
      <c r="B10" s="10">
        <v>0.87800000000000022</v>
      </c>
    </row>
    <row r="11" spans="1:2" x14ac:dyDescent="0.35">
      <c r="A11" s="2" t="s">
        <v>28</v>
      </c>
      <c r="B11" s="10">
        <v>9.1950000000000021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CF115-5B54-468F-B54F-4BA335735E93}">
  <dimension ref="A3:B6"/>
  <sheetViews>
    <sheetView workbookViewId="0">
      <selection activeCell="A9" sqref="B9"/>
    </sheetView>
  </sheetViews>
  <sheetFormatPr defaultRowHeight="14.5" x14ac:dyDescent="0.35"/>
  <cols>
    <col min="1" max="1" width="12.36328125" bestFit="1" customWidth="1"/>
    <col min="2" max="2" width="30.54296875" bestFit="1" customWidth="1"/>
  </cols>
  <sheetData>
    <row r="3" spans="1:2" x14ac:dyDescent="0.35">
      <c r="A3" s="1" t="s">
        <v>27</v>
      </c>
      <c r="B3" t="s">
        <v>0</v>
      </c>
    </row>
    <row r="4" spans="1:2" x14ac:dyDescent="0.35">
      <c r="A4" s="2" t="s">
        <v>12</v>
      </c>
      <c r="B4" s="10">
        <v>7.8120000000000038</v>
      </c>
    </row>
    <row r="5" spans="1:2" x14ac:dyDescent="0.35">
      <c r="A5" s="2" t="s">
        <v>16</v>
      </c>
      <c r="B5" s="10">
        <v>1.383</v>
      </c>
    </row>
    <row r="6" spans="1:2" x14ac:dyDescent="0.35">
      <c r="A6" s="2" t="s">
        <v>28</v>
      </c>
      <c r="B6" s="10">
        <v>9.1950000000000038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EC22-A58A-443E-A7CE-4BBCD4DC6A34}">
  <dimension ref="A3:B12"/>
  <sheetViews>
    <sheetView workbookViewId="0">
      <selection activeCell="A9" sqref="B9"/>
    </sheetView>
  </sheetViews>
  <sheetFormatPr defaultRowHeight="14.5" x14ac:dyDescent="0.35"/>
  <cols>
    <col min="1" max="1" width="23.1796875" bestFit="1" customWidth="1"/>
    <col min="2" max="2" width="16.453125" bestFit="1" customWidth="1"/>
  </cols>
  <sheetData>
    <row r="3" spans="1:2" x14ac:dyDescent="0.35">
      <c r="A3" s="1" t="s">
        <v>27</v>
      </c>
      <c r="B3" t="s">
        <v>29</v>
      </c>
    </row>
    <row r="4" spans="1:2" x14ac:dyDescent="0.35">
      <c r="A4" s="2" t="s">
        <v>20</v>
      </c>
      <c r="B4" s="10">
        <v>7150.2</v>
      </c>
    </row>
    <row r="5" spans="1:2" x14ac:dyDescent="0.35">
      <c r="A5" s="2" t="s">
        <v>21</v>
      </c>
      <c r="B5" s="10">
        <v>4389.4000000000005</v>
      </c>
    </row>
    <row r="6" spans="1:2" x14ac:dyDescent="0.35">
      <c r="A6" s="2" t="s">
        <v>26</v>
      </c>
      <c r="B6" s="10">
        <v>5535.0999999999995</v>
      </c>
    </row>
    <row r="7" spans="1:2" x14ac:dyDescent="0.35">
      <c r="A7" s="2" t="s">
        <v>18</v>
      </c>
      <c r="B7" s="10">
        <v>5081</v>
      </c>
    </row>
    <row r="8" spans="1:2" x14ac:dyDescent="0.35">
      <c r="A8" s="2" t="s">
        <v>23</v>
      </c>
      <c r="B8" s="10">
        <v>7153.4000000000015</v>
      </c>
    </row>
    <row r="9" spans="1:2" x14ac:dyDescent="0.35">
      <c r="A9" s="2" t="s">
        <v>14</v>
      </c>
      <c r="B9" s="10">
        <v>4623.5</v>
      </c>
    </row>
    <row r="10" spans="1:2" x14ac:dyDescent="0.35">
      <c r="A10" s="2" t="s">
        <v>10</v>
      </c>
      <c r="B10" s="10">
        <v>6968.7999999999993</v>
      </c>
    </row>
    <row r="11" spans="1:2" x14ac:dyDescent="0.35">
      <c r="A11" s="2" t="s">
        <v>24</v>
      </c>
      <c r="B11" s="10">
        <v>5323.7</v>
      </c>
    </row>
    <row r="12" spans="1:2" x14ac:dyDescent="0.35">
      <c r="A12" s="2" t="s">
        <v>28</v>
      </c>
      <c r="B12" s="10">
        <v>46225.100000000006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FBB6-DFD0-4513-9F6D-F0B96825CCA3}">
  <dimension ref="A3:B12"/>
  <sheetViews>
    <sheetView workbookViewId="0">
      <selection activeCell="A9" sqref="B9"/>
    </sheetView>
  </sheetViews>
  <sheetFormatPr defaultRowHeight="14.5" x14ac:dyDescent="0.35"/>
  <cols>
    <col min="1" max="1" width="23.1796875" bestFit="1" customWidth="1"/>
    <col min="2" max="2" width="21.7265625" bestFit="1" customWidth="1"/>
  </cols>
  <sheetData>
    <row r="3" spans="1:2" x14ac:dyDescent="0.35">
      <c r="A3" s="1" t="s">
        <v>27</v>
      </c>
      <c r="B3" t="s">
        <v>30</v>
      </c>
    </row>
    <row r="4" spans="1:2" x14ac:dyDescent="0.35">
      <c r="A4" s="2" t="s">
        <v>20</v>
      </c>
      <c r="B4" s="10">
        <v>487.54999999999995</v>
      </c>
    </row>
    <row r="5" spans="1:2" x14ac:dyDescent="0.35">
      <c r="A5" s="2" t="s">
        <v>21</v>
      </c>
      <c r="B5" s="10">
        <v>336.37999999999994</v>
      </c>
    </row>
    <row r="6" spans="1:2" x14ac:dyDescent="0.35">
      <c r="A6" s="2" t="s">
        <v>26</v>
      </c>
      <c r="B6" s="10">
        <v>405.38</v>
      </c>
    </row>
    <row r="7" spans="1:2" x14ac:dyDescent="0.35">
      <c r="A7" s="2" t="s">
        <v>18</v>
      </c>
      <c r="B7" s="10">
        <v>373.87999999999994</v>
      </c>
    </row>
    <row r="8" spans="1:2" x14ac:dyDescent="0.35">
      <c r="A8" s="2" t="s">
        <v>23</v>
      </c>
      <c r="B8" s="10">
        <v>481.99000000000007</v>
      </c>
    </row>
    <row r="9" spans="1:2" x14ac:dyDescent="0.35">
      <c r="A9" s="2" t="s">
        <v>14</v>
      </c>
      <c r="B9" s="10">
        <v>324.3</v>
      </c>
    </row>
    <row r="10" spans="1:2" x14ac:dyDescent="0.35">
      <c r="A10" s="2" t="s">
        <v>10</v>
      </c>
      <c r="B10" s="10">
        <v>498.74000000000007</v>
      </c>
    </row>
    <row r="11" spans="1:2" x14ac:dyDescent="0.35">
      <c r="A11" s="2" t="s">
        <v>24</v>
      </c>
      <c r="B11" s="10">
        <v>404.30999999999995</v>
      </c>
    </row>
    <row r="12" spans="1:2" x14ac:dyDescent="0.35">
      <c r="A12" s="2" t="s">
        <v>28</v>
      </c>
      <c r="B12" s="10">
        <v>3312.53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46CF-AA4D-4847-B3E9-84E159EB6184}">
  <sheetPr>
    <tabColor theme="3"/>
  </sheetPr>
  <dimension ref="A1:AG55"/>
  <sheetViews>
    <sheetView tabSelected="1" zoomScale="55" zoomScaleNormal="100" workbookViewId="0">
      <selection activeCell="AH19" sqref="AH19"/>
    </sheetView>
  </sheetViews>
  <sheetFormatPr defaultRowHeight="14.5" x14ac:dyDescent="0.35"/>
  <cols>
    <col min="31" max="31" width="8.7265625" customWidth="1"/>
  </cols>
  <sheetData>
    <row r="1" spans="1:33" ht="43.15" customHeight="1" x14ac:dyDescent="0.35">
      <c r="A1" s="8" t="s">
        <v>31</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ht="32.5" customHeight="1" x14ac:dyDescent="0.3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3" spans="1:33" ht="17.5" customHeight="1" x14ac:dyDescent="0.3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spans="1:33" ht="11.5" hidden="1" customHeight="1" x14ac:dyDescent="0.3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ht="14.5" hidden="1" customHeight="1" x14ac:dyDescent="0.3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spans="1:33" ht="13" hidden="1" customHeight="1" x14ac:dyDescent="0.3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ht="14.5" hidden="1" customHeight="1" x14ac:dyDescent="0.3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ht="14.5" hidden="1" customHeight="1" x14ac:dyDescent="0.3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1:33"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1:33"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1:33"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1:33"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1:33"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1:33"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1:33"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1:33"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1:33"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1:33"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1:33"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1:33"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1:33"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1:33"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1:33"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1:33"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1:33"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1:33"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sheetData>
  <mergeCells count="2">
    <mergeCell ref="A1:AG8"/>
    <mergeCell ref="A9:AG5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Data</vt:lpstr>
      <vt:lpstr>Sheet1</vt:lpstr>
      <vt:lpstr>Sheet2</vt:lpstr>
      <vt:lpstr>Sheet5</vt:lpstr>
      <vt:lpstr>Sheet6</vt:lpstr>
      <vt:lpstr>Sheet7</vt:lpstr>
      <vt:lpstr>Sheet8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Vashishth</dc:creator>
  <cp:lastModifiedBy>ANMOL SINGH</cp:lastModifiedBy>
  <dcterms:created xsi:type="dcterms:W3CDTF">2026-10-01T19:24:06Z</dcterms:created>
  <dcterms:modified xsi:type="dcterms:W3CDTF">2026-10-09T13:41:27Z</dcterms:modified>
</cp:coreProperties>
</file>